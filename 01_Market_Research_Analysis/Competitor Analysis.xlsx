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tusharverma/Downloads/Nike Case Study/"/>
    </mc:Choice>
  </mc:AlternateContent>
  <xr:revisionPtr revIDLastSave="0" documentId="8_{0F859811-3C8F-804E-88E2-6E58EECE43DE}" xr6:coauthVersionLast="47" xr6:coauthVersionMax="47" xr10:uidLastSave="{00000000-0000-0000-0000-000000000000}"/>
  <bookViews>
    <workbookView xWindow="0" yWindow="500" windowWidth="28800" windowHeight="16440" xr2:uid="{00000000-000D-0000-FFFF-FFFF00000000}"/>
  </bookViews>
  <sheets>
    <sheet name="Read Me" sheetId="1" r:id="rId1"/>
    <sheet name="Brand Overview" sheetId="2" r:id="rId2"/>
    <sheet name="Comparison Matrix" sheetId="3" r:id="rId3"/>
    <sheet name="SKU Audit" sheetId="4" r:id="rId4"/>
    <sheet name="Scorecard" sheetId="5" r:id="rId5"/>
    <sheet name="Sources &amp; Limits" sheetId="6" r:id="rId6"/>
  </sheets>
  <definedNames>
    <definedName name="_xlnm._FilterDatabase" localSheetId="1" hidden="1">'Brand Overview'!$A$4:$E$12</definedName>
    <definedName name="_xlnm._FilterDatabase" localSheetId="2" hidden="1">'Comparison Matrix'!$A$4:$G$11</definedName>
    <definedName name="_xlnm._FilterDatabase" localSheetId="4" hidden="1">Scorecard!$A$4:$G$10</definedName>
    <definedName name="_xlnm._FilterDatabase" localSheetId="3" hidden="1">'SKU Audit'!$A$4:$L$34</definedName>
    <definedName name="_xlnm._FilterDatabase" localSheetId="5" hidden="1">'Sources &amp; Limits'!$A$3:$D$23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4" i="4" l="1"/>
  <c r="H33" i="4"/>
  <c r="H32" i="4"/>
  <c r="H31" i="4"/>
  <c r="H30" i="4"/>
  <c r="H29" i="4"/>
  <c r="H28" i="4"/>
  <c r="H27" i="4"/>
  <c r="H26" i="4"/>
  <c r="H25" i="4"/>
  <c r="H24" i="4"/>
  <c r="H23" i="4"/>
  <c r="H22" i="4"/>
  <c r="H21" i="4"/>
  <c r="H20" i="4"/>
  <c r="H19" i="4"/>
  <c r="H18" i="4"/>
  <c r="H17" i="4"/>
  <c r="H16" i="4"/>
  <c r="H15" i="4"/>
  <c r="H14" i="4"/>
  <c r="H13" i="4"/>
  <c r="H12" i="4"/>
  <c r="H11" i="4"/>
  <c r="H10" i="4"/>
  <c r="H9" i="4"/>
  <c r="H8" i="4"/>
  <c r="H7" i="4"/>
  <c r="H6" i="4"/>
  <c r="H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A2" authorId="0" shapeId="0" xr:uid="{00000000-0006-0000-0300-000001000000}">
      <text>
        <r>
          <rPr>
            <sz val="11"/>
            <color theme="1"/>
            <rFont val="Calibri"/>
            <family val="2"/>
            <scheme val="minor"/>
          </rPr>
          <t>The SKU rows provide a populated comparison scaffold using indicative benchmark prices. They are not claimed as live prices captured from the linked sites. Exact model variants, India listing and stock should be rechecked before presenting as observed market data.</t>
        </r>
      </text>
    </comment>
  </commentList>
</comments>
</file>

<file path=xl/sharedStrings.xml><?xml version="1.0" encoding="utf-8"?>
<sst xmlns="http://schemas.openxmlformats.org/spreadsheetml/2006/main" count="458" uniqueCount="282">
  <si>
    <t>SOURCES &amp; INTERPRETATION LIMITS</t>
  </si>
  <si>
    <t>Record source date and category definitions consistently; refresh before external publication.</t>
  </si>
  <si>
    <t>Source / evidence</t>
  </si>
  <si>
    <t>What it supports</t>
  </si>
  <si>
    <t>Limit / caution</t>
  </si>
  <si>
    <t>Reference</t>
  </si>
  <si>
    <t>Euromonitor International, Sportswear in India, public overview</t>
  </si>
  <si>
    <t>Broad India sportswear estimate, growth outlook, themes and public company-share summary.</t>
  </si>
  <si>
    <t>Public overview only; full report / methodology not reviewed. Shares are not Gen Z preference shares.</t>
  </si>
  <si>
    <t>https://www.euromonitor.com/sportswear-in-india/report</t>
  </si>
  <si>
    <t>Hindustan Foods Ltd, Annual Report 2024–25, MD&amp;A; estimate attributed to IMARC</t>
  </si>
  <si>
    <t>Athletic-footwear estimate for India and forecast cited in report.</t>
  </si>
  <si>
    <t>Secondary citation; not directly comparable with broad sportswear estimate.</t>
  </si>
  <si>
    <t>https://nsearchives.nseindia.com/annual_reports/AR_27657_HNDFDS_2024_2025_A_11429527_25082025180640.pdf</t>
  </si>
  <si>
    <t>Ken Research, India Sports Apparel Market public summary</t>
  </si>
  <si>
    <t>Apparel-only estimate included to illustrate scope differences.</t>
  </si>
  <si>
    <t>Commercial market-page summary; verify definition and methodology.</t>
  </si>
  <si>
    <t>https://www.kenresearch.com/industry-reports/india-sports-apparel-market</t>
  </si>
  <si>
    <t>Brand positioning descriptions in this workbook</t>
  </si>
  <si>
    <t>Starting hypotheses for competitive audit and consumer research.</t>
  </si>
  <si>
    <t>Validate current India assortment, prices, access and Gen Z perceptions with dated evidence.</t>
  </si>
  <si>
    <t>Complete SKU Audit and primary research.</t>
  </si>
  <si>
    <t>SKU price points in this workbook</t>
  </si>
  <si>
    <t>Illustrative planning benchmarks retained only for broad price-band discussion.</t>
  </si>
  <si>
    <t>Not source-verified current prices; brand homepages are reference destinations, not exact SKU evidence. Do not cite these values as observed MRPs or selling prices.</t>
  </si>
  <si>
    <t>Replace with dated exact-SKU listing capture from official / authorized comparable channels.</t>
  </si>
  <si>
    <t>Key limitations</t>
  </si>
  <si>
    <t>• Qualitative descriptors are not verified consumer perceptions or performance scores.</t>
  </si>
  <si>
    <t>• Do not combine estimates from different providers without reconciling definitions, periods, currency and channels.</t>
  </si>
  <si>
    <t>• Company-share estimates are not Gen Z-specific unless the source explicitly says so.</t>
  </si>
  <si>
    <t>• Price and stock change frequently; record audit date and retain source evidence.</t>
  </si>
  <si>
    <t>• An exploratory survey of 100–150 respondents is directional, not nationally representative.</t>
  </si>
  <si>
    <t>Limitation</t>
  </si>
  <si>
    <t>Why it matters</t>
  </si>
  <si>
    <t>How to close the gap</t>
  </si>
  <si>
    <t>Status</t>
  </si>
  <si>
    <t>No primary Gen Z survey or interviews</t>
  </si>
  <si>
    <t>Brand-level cues cannot establish what Indian Gen Z actually prefers, considers or buys.</t>
  </si>
  <si>
    <t>Run a structured survey across relevant cities/age bands and 8–12 exploratory interviews; report sample, dates and method.</t>
  </si>
  <si>
    <t>Open</t>
  </si>
  <si>
    <t>Illustrative SKU price points are not verified listing prices</t>
  </si>
  <si>
    <t>Values can vary by model, variant, size, retailer, promotion and date; homepages do not substantiate exact SKU prices.</t>
  </si>
  <si>
    <t>Capture the exact India product URL, date, model/variant, MRP, selling price, discount and size-level availability. Keep screenshot/export evidence.</t>
  </si>
  <si>
    <t>No comparable stock / distribution audit</t>
  </si>
  <si>
    <t>A brand's nominal product range does not show what a consumer can actually buy in their pin code or size.</t>
  </si>
  <si>
    <t>Capture size availability across a consistent set of cities/pincodes and channels.</t>
  </si>
  <si>
    <t>Qualitative scorecard is hypothesis-based</t>
  </si>
  <si>
    <t>Scores are structured judgment, not a measured customer rating or objective brand ranking.</t>
  </si>
  <si>
    <t>Validate each dimension using a defined rubric, evidence references and consumer/retail data; retain uncertainty.</t>
  </si>
  <si>
    <t>Market-size estimates use different definitions</t>
  </si>
  <si>
    <t>Sportswear, athletic footwear and sports apparel are different categories and should not be added or directly compared.</t>
  </si>
  <si>
    <t>Choose one category definition and geography/period for TAM; document inclusions/exclusions and source methodology.</t>
  </si>
  <si>
    <t>No Nike internal economics or campaign data</t>
  </si>
  <si>
    <t>Financial impact, conversion, CAC and margin cannot be treated as Nike actuals.</t>
  </si>
  <si>
    <t>Use scenario assumptions transparently; replace with authorized company data if available.</t>
  </si>
  <si>
    <t>Live size-level stock is outside the scope of this desk benchmark</t>
  </si>
  <si>
    <t>Stock changes frequently by size, city, channel and date; presenting unobserved availability as fact would be misleading.</t>
  </si>
  <si>
    <t>Availability is not recorded at SKU level and is excluded from the scorecard. This workbook is a directional desk-research case study, not a live inventory audit.</t>
  </si>
  <si>
    <t>Scope decision</t>
  </si>
  <si>
    <t>NIKE GEN Z INDIA | COMPETITOR ANALYSIS</t>
  </si>
  <si>
    <t>Independent hypothetical consulting case • Qualitative desk-research framework; validate before presenting as findings</t>
  </si>
  <si>
    <t>Workbook tab</t>
  </si>
  <si>
    <t>Purpose</t>
  </si>
  <si>
    <t>Desk-research framework with qualitative brand positioning, illustrative price points and directional analyst hypotheses. It is not a live SKU audit or measured Gen Z research.</t>
  </si>
  <si>
    <t>Broad brand positioning lenses and questions to validate.</t>
  </si>
  <si>
    <t>Comparison Matrix</t>
  </si>
  <si>
    <t>Qualitative side-by-side comparison; not a measured score or ranking.</t>
  </si>
  <si>
    <t>Illustrative Price Benchmarks</t>
  </si>
  <si>
    <t>Indicative reference price points for directional discussion only; not verified against dated product listings. Live price, exact SKU variant and stock are not confirmed.</t>
  </si>
  <si>
    <t>Directional Hypothesis Scorecard</t>
  </si>
  <si>
    <t>Analyst hypotheses only—not survey findings, a measured score or a brand ranking.</t>
  </si>
  <si>
    <t>Sources &amp; Limits</t>
  </si>
  <si>
    <t>Reference log and safeguards for interpretation.</t>
  </si>
  <si>
    <t>Price benchmarks: all listed figures are illustrative reference points, not verified current MRPs or selling prices. No exact product-page capture or size-level stock audit was completed.</t>
  </si>
  <si>
    <t>Use the figures only to frame broad price-band questions. Replace with dated exact-SKU evidence before making factual price or affordability claims.</t>
  </si>
  <si>
    <t>Scorecard: scores are structured analyst hypotheses based on broad positioning cues; they do not represent Gen Z preferences or an overall ranking.</t>
  </si>
  <si>
    <t>Replace hypotheses with defined, sourced evidence and consumer research. Do not calculate or publish a winning brand.</t>
  </si>
  <si>
    <t>Important</t>
  </si>
  <si>
    <t>This is an independent portfolio case study, not commissioned by, affiliated with, or endorsed by Nike. No Nike internal data, verified SKU-level price audit, or Gen Z survey results are used. Market-share estimates from public summaries are company-level estimates, not Gen Z preference shares.</t>
  </si>
  <si>
    <t>BRAND OVERVIEW</t>
  </si>
  <si>
    <t>Broad positioning lenses to guide comparison; verify current India-specific product and channel details.</t>
  </si>
  <si>
    <t>Brand</t>
  </si>
  <si>
    <t>Broad positioning lens</t>
  </si>
  <si>
    <t>Illustrative product / use-case cues</t>
  </si>
  <si>
    <t>Potential competitive overlap</t>
  </si>
  <si>
    <t>Questions to validate with Gen Z</t>
  </si>
  <si>
    <t>Nike</t>
  </si>
  <si>
    <t>Global sports-performance heritage with sport and lifestyle crossover.</t>
  </si>
  <si>
    <t>Athletic footwear, training / running apparel, sport-inspired lifestyle sneakers.</t>
  </si>
  <si>
    <t>Performance, identity, sport culture and lifestyle footwear.</t>
  </si>
  <si>
    <t>Does sport credibility translate to local relevance? Which use cases justify price? Are desired products accessible?</t>
  </si>
  <si>
    <t>adidas</t>
  </si>
  <si>
    <t>Sports heritage with established lifestyle franchises and performance ranges.</t>
  </si>
  <si>
    <t>Running / training and lifestyle sneakers such as Samba, Gazelle and Superstar.</t>
  </si>
  <si>
    <t>Lifestyle sneakers, sport and everyday wear.</t>
  </si>
  <si>
    <t>Which franchises are considered? How do consumers compare design, value and availability?</t>
  </si>
  <si>
    <t>Puma</t>
  </si>
  <si>
    <t>Performance and sportstyle presence across athletic and casual use cases.</t>
  </si>
  <si>
    <t>Training / running and sportstyle footwear and apparel.</t>
  </si>
  <si>
    <t>Sportstyle, casual sneakers and accessible performance.</t>
  </si>
  <si>
    <t>How is Puma perceived on price-value, style, performance and accessibility relative to Nike?</t>
  </si>
  <si>
    <t>Skechers</t>
  </si>
  <si>
    <t>Footwear-led comfort and lifestyle relevance, with performance-oriented ranges.</t>
  </si>
  <si>
    <t>Walking, everyday comfort and selected running / training footwear.</t>
  </si>
  <si>
    <t>Everyday footwear, comfort and walking occasions.</t>
  </si>
  <si>
    <t>How much do comfort, fit, durability and price influence choice?</t>
  </si>
  <si>
    <t>Decathlon</t>
  </si>
  <si>
    <t>Sports-specialist retailer with broad activity-specific assortment.</t>
  </si>
  <si>
    <t>Activity-specific footwear, apparel and equipment across sports.</t>
  </si>
  <si>
    <t>Activity gear, product education and physical trial.</t>
  </si>
  <si>
    <t>Which activities and price points matter? How does trial affect confidence?</t>
  </si>
  <si>
    <t>Campus Activewear</t>
  </si>
  <si>
    <t>Indian footwear brand with broad casual and sports-inspired footwear presence.</t>
  </si>
  <si>
    <t>Everyday sneakers, sports-inspired and activity footwear.</t>
  </si>
  <si>
    <t>Value-oriented casual / sports-inspired footwear.</t>
  </si>
  <si>
    <t>What role do availability, style and price play in consideration?</t>
  </si>
  <si>
    <t>New Balance</t>
  </si>
  <si>
    <t>Running heritage, comfort and lifestyle sneaker presence.</t>
  </si>
  <si>
    <t>Running / walking heritage and lifestyle footwear.</t>
  </si>
  <si>
    <t>Comfort, running and premium lifestyle sneaker occasions.</t>
  </si>
  <si>
    <t>Is performance heritage understood? Which consumers see value in price and design?</t>
  </si>
  <si>
    <t>BlissClub</t>
  </si>
  <si>
    <t>India-focused activewear / athleisure brand, particularly apparel-led.</t>
  </si>
  <si>
    <t>Women-focused activewear and athleisure apparel.</t>
  </si>
  <si>
    <t>Fitness apparel, everyday activewear and community engagement.</t>
  </si>
  <si>
    <t>What apparel needs, fit concerns and community cues matter?</t>
  </si>
  <si>
    <t>QUALITATIVE COMPARISON MATRIX</t>
  </si>
  <si>
    <t>Directional descriptors only—not a score, ranking, or measured assessment of Gen Z preference.</t>
  </si>
  <si>
    <t>Dimension</t>
  </si>
  <si>
    <t>India / niche brands</t>
  </si>
  <si>
    <t>Performance heritage</t>
  </si>
  <si>
    <t>Core global brand association</t>
  </si>
  <si>
    <t>Established sports heritage</t>
  </si>
  <si>
    <t>Sports and performance association</t>
  </si>
  <si>
    <t>Comfort / walking-led association; performance ranges also exist</t>
  </si>
  <si>
    <t>Activity-specific sports offering</t>
  </si>
  <si>
    <t>Varies by brand and product</t>
  </si>
  <si>
    <t>Lifestyle / everyday crossover</t>
  </si>
  <si>
    <t>Sport-inspired lifestyle crossover</t>
  </si>
  <si>
    <t>Established lifestyle franchises</t>
  </si>
  <si>
    <t>Sportstyle crossover</t>
  </si>
  <si>
    <t>Everyday comfort and casual footwear</t>
  </si>
  <si>
    <t>Functional / activity-led assortment</t>
  </si>
  <si>
    <t>Often local style or niche-led</t>
  </si>
  <si>
    <t>Product range lens</t>
  </si>
  <si>
    <t>Footwear and apparel across sport / lifestyle</t>
  </si>
  <si>
    <t>Footwear and apparel across sportstyle / sport</t>
  </si>
  <si>
    <t>Footwear-led; apparel also present</t>
  </si>
  <si>
    <t>Broad multi-sport assortment</t>
  </si>
  <si>
    <t>Varies: Campus footwear-led; BlissClub apparel-led</t>
  </si>
  <si>
    <t>Potential value conversation</t>
  </si>
  <si>
    <t>Test perceived premium and benefit justification</t>
  </si>
  <si>
    <t>Compare franchise price-value</t>
  </si>
  <si>
    <t>Test value perception and accessibility</t>
  </si>
  <si>
    <t>Test comfort and durability value</t>
  </si>
  <si>
    <t>Compare entry price and activity fit</t>
  </si>
  <si>
    <t>Assess affordability and local relevance</t>
  </si>
  <si>
    <t>Community / culture lens</t>
  </si>
  <si>
    <t>Sport and athlete culture; validate local resonance</t>
  </si>
  <si>
    <t>Sport and lifestyle culture</t>
  </si>
  <si>
    <t>Sportstyle and sport culture</t>
  </si>
  <si>
    <t>Comfort / everyday-use cues</t>
  </si>
  <si>
    <t>Participation, sport learning and trial</t>
  </si>
  <si>
    <t>Varies by audience and activation</t>
  </si>
  <si>
    <t>Access / channel questions</t>
  </si>
  <si>
    <t>Audit official / authorized channels, size and stock</t>
  </si>
  <si>
    <t>Audit retail / digital availability</t>
  </si>
  <si>
    <t>Audit store reach, online availability and trial</t>
  </si>
  <si>
    <t>Audit brand-specific coverage</t>
  </si>
  <si>
    <t>Primary research priority</t>
  </si>
  <si>
    <t>Consideration, product relevance, willingness to pay</t>
  </si>
  <si>
    <t>Franchise awareness and style relevance</t>
  </si>
  <si>
    <t>Price-value and consideration</t>
  </si>
  <si>
    <t>Comfort / fit / value</t>
  </si>
  <si>
    <t>Activity fit, trial and affordability</t>
  </si>
  <si>
    <t>Local relevance, access and segment fit</t>
  </si>
  <si>
    <t>ILLUSTRATIVE COMPETITOR PRICE BENCHMARKS</t>
  </si>
  <si>
    <t>Desk-research planning inputs only | No exact product listing, current selling price, discount or size-level stock was verified.</t>
  </si>
  <si>
    <t>Reference date
(prepared, not observed)</t>
  </si>
  <si>
    <t>Product / SKU</t>
  </si>
  <si>
    <t>Category</t>
  </si>
  <si>
    <t>Use case</t>
  </si>
  <si>
    <t>Indicative price point (₹)
(unverified)</t>
  </si>
  <si>
    <t>Observed selling price (₹)
(fill only after live audit)</t>
  </si>
  <si>
    <t>Discount %
(calculated after audit)</t>
  </si>
  <si>
    <t>Reference channel</t>
  </si>
  <si>
    <t>Brand website
(not SKU listing)</t>
  </si>
  <si>
    <t>Evidence note / validation required</t>
  </si>
  <si>
    <t>Evidence status</t>
  </si>
  <si>
    <t>2026-09-30 (prepared)</t>
  </si>
  <si>
    <t>Revolution 7</t>
  </si>
  <si>
    <t>Running footwear</t>
  </si>
  <si>
    <t>Entry running / everyday</t>
  </si>
  <si>
    <t>Brand homepage reference only</t>
  </si>
  <si>
    <t>https://www.nike.com/in/</t>
  </si>
  <si>
    <t>Illustrative planning benchmark only; not verified from a dated product listing. Confirm exact India SKU/variant, current MRP, selling price, promotion, size and stock on a comparable channel before external use.</t>
  </si>
  <si>
    <t>Illustrative—not verified</t>
  </si>
  <si>
    <t>Downshifter 13</t>
  </si>
  <si>
    <t>Entry running / training</t>
  </si>
  <si>
    <t>Court Vision Low</t>
  </si>
  <si>
    <t>Lifestyle footwear</t>
  </si>
  <si>
    <t>Casual / campus wear</t>
  </si>
  <si>
    <t>Runfalcon</t>
  </si>
  <si>
    <t>https://www.adidas.co.in/</t>
  </si>
  <si>
    <t>Duramo SL</t>
  </si>
  <si>
    <t>Running / training</t>
  </si>
  <si>
    <t>Grand Court</t>
  </si>
  <si>
    <t>Caven 2.0</t>
  </si>
  <si>
    <t>https://in.puma.com/</t>
  </si>
  <si>
    <t>Softride</t>
  </si>
  <si>
    <t>Everyday comfort / running</t>
  </si>
  <si>
    <t>Pounce Lite</t>
  </si>
  <si>
    <t>GO RUN Consistent</t>
  </si>
  <si>
    <t>Running / everyday comfort</t>
  </si>
  <si>
    <t>https://www.skechers.in/</t>
  </si>
  <si>
    <t>Summits</t>
  </si>
  <si>
    <t>Walking / everyday comfort</t>
  </si>
  <si>
    <t>Track</t>
  </si>
  <si>
    <t>Training footwear</t>
  </si>
  <si>
    <t>Walking / light training</t>
  </si>
  <si>
    <t>Jogflow 100</t>
  </si>
  <si>
    <t>Entry running</t>
  </si>
  <si>
    <t>https://www.decathlon.in/</t>
  </si>
  <si>
    <t>Run Active</t>
  </si>
  <si>
    <t>Regular running</t>
  </si>
  <si>
    <t>Kiprun running shoe (entry range)</t>
  </si>
  <si>
    <t>Oxyfit (selected styles)</t>
  </si>
  <si>
    <t>Sports footwear</t>
  </si>
  <si>
    <t>Everyday / light activity</t>
  </si>
  <si>
    <t>https://www.campusshoes.com/</t>
  </si>
  <si>
    <t>Running shoe (selected styles)</t>
  </si>
  <si>
    <t>Casual sneaker (selected styles)</t>
  </si>
  <si>
    <t>574 (selected variants)</t>
  </si>
  <si>
    <t>https://www.newbalance.com/</t>
  </si>
  <si>
    <t>327 (selected variants)</t>
  </si>
  <si>
    <t>Lifestyle / streetwear</t>
  </si>
  <si>
    <t>Fresh Foam (selected entry models)</t>
  </si>
  <si>
    <t>Everyday activewear (legging)</t>
  </si>
  <si>
    <t>Activewear apparel</t>
  </si>
  <si>
    <t>Studio / everyday activewear</t>
  </si>
  <si>
    <t>https://blissclub.com/</t>
  </si>
  <si>
    <t>Sports bra (selected styles)</t>
  </si>
  <si>
    <t>Training / studio</t>
  </si>
  <si>
    <t>Active tee (selected styles)</t>
  </si>
  <si>
    <t>Training / everyday</t>
  </si>
  <si>
    <t>DIRECTIONAL COMPETITOR HYPOTHESIS SCORECARD</t>
  </si>
  <si>
    <t>Analyst hypotheses based on broad positioning cues only—not measured Gen Z perceptions, verified performance data, live audit findings, or a ranking.</t>
  </si>
  <si>
    <t>Weight (optional)</t>
  </si>
  <si>
    <t>Nike
(hypothesis 1–5)</t>
  </si>
  <si>
    <t>adidas
(hypothesis 1–5)</t>
  </si>
  <si>
    <t>Puma
(hypothesis 1–5)</t>
  </si>
  <si>
    <t>Other* 
(hypothesis 1–5)</t>
  </si>
  <si>
    <t>Evidence basis / rationale / validation needed</t>
  </si>
  <si>
    <t>Performance credibility</t>
  </si>
  <si>
    <t>Nike/adidas have broad sports-performance heritage; Puma also has performance associations; 'Other' combines varied brands and is not one comparable entity. Qualitative desk-research hypothesis, not survey data.</t>
  </si>
  <si>
    <t>Lifestyle relevance</t>
  </si>
  <si>
    <t>Nike/adidas have established sport-lifestyle crossover cues; Puma also participates in sportstyle. Other brands vary substantially by segment. Validate with Gen Z consideration and usage research.</t>
  </si>
  <si>
    <t>Perceived affordability / value</t>
  </si>
  <si>
    <t>Relative value hypothesis based on broad price-positioning cues, not a live SKU price audit. Actual value depends on exact product, discount, quality and willingness to pay.</t>
  </si>
  <si>
    <t>Digital product discovery</t>
  </si>
  <si>
    <t>Large brands generally offer digital discovery channels; no comparable usability or conversion test was conducted. Scores are hypotheses only; audit app/site, content and marketplace presence.</t>
  </si>
  <si>
    <t>Everyday comfort / versatility</t>
  </si>
  <si>
    <t>Comfort is a salient product-selection lens; 'Other' includes comfort- and value-led players, so the aggregated score is illustrative and not brand-specific.</t>
  </si>
  <si>
    <t>Local accessibility / availability</t>
  </si>
  <si>
    <t>Directional hypothesis about breadth of accessible price points and distribution; no store-count, size-fill or pin-code availability dataset was collected.</t>
  </si>
  <si>
    <t>Product information / fit confidence</t>
  </si>
  <si>
    <t>Add dated evidence before scoring.</t>
  </si>
  <si>
    <t>Scoring guidance</t>
  </si>
  <si>
    <t>1</t>
  </si>
  <si>
    <t>Weak evidence of fit</t>
  </si>
  <si>
    <t>2</t>
  </si>
  <si>
    <t>Limited evidence</t>
  </si>
  <si>
    <t>3</t>
  </si>
  <si>
    <t>Mixed / moderate evidence</t>
  </si>
  <si>
    <t>4</t>
  </si>
  <si>
    <t>Strong evidence</t>
  </si>
  <si>
    <t>5</t>
  </si>
  <si>
    <t>Very strong evidence</t>
  </si>
  <si>
    <t>N/A</t>
  </si>
  <si>
    <t>Insufficient comparable evidence; do not force a score</t>
  </si>
  <si>
    <t>How to interpret</t>
  </si>
  <si>
    <t>Scores are directional working hypotheses only. Do not calculate an overall winner or publish as consumer preference. Replace with primary survey, structured interviews and dated SKU/channel evidence.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</si>
</sst>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m\-yyyy"/>
    <numFmt numFmtId="165" formatCode="\₹#,##0"/>
    <numFmt numFmtId="166" formatCode="yyyy\-mm\-dd"/>
    <numFmt numFmtId="167" formatCode="&quot;₹&quot;#,##0"/>
    <numFmt numFmtId="168" formatCode="0.0%"/>
  </numFmts>
  <fonts count="13" x14ac:knownFonts="1">
    <font>
      <sz val="11"/>
      <color theme="1"/>
      <name val="Calibri"/>
      <family val="2"/>
      <scheme val="minor"/>
    </font>
    <font>
      <b/>
      <sz val="9"/>
      <color rgb="FFFFFFFF"/>
      <name val="Arial"/>
      <family val="2"/>
    </font>
    <font>
      <sz val="9"/>
      <color rgb="FF222222"/>
      <name val="Arial"/>
      <family val="2"/>
    </font>
    <font>
      <sz val="9"/>
      <color rgb="FF0563C1"/>
      <name val="Arial"/>
      <family val="2"/>
    </font>
    <font>
      <b/>
      <sz val="10"/>
      <color rgb="FFFFFFFF"/>
      <name val="Arial"/>
      <family val="2"/>
    </font>
    <font>
      <b/>
      <sz val="16"/>
      <color rgb="FF101318"/>
      <name val="Arial"/>
      <family val="2"/>
    </font>
    <font>
      <i/>
      <sz val="10"/>
      <color rgb="FF5B6470"/>
      <name val="Arial"/>
      <family val="2"/>
    </font>
    <font>
      <i/>
      <sz val="9"/>
      <color rgb="FF9C0006"/>
      <name val="Arial"/>
      <family val="2"/>
    </font>
    <font>
      <sz val="9"/>
      <color theme="1"/>
      <name val="Calibri"/>
      <family val="2"/>
      <scheme val="minor"/>
    </font>
    <font>
      <b/>
      <sz val="9"/>
      <color rgb="FF7F6000"/>
      <name val="Arial"/>
      <family val="2"/>
    </font>
    <font>
      <b/>
      <sz val="9"/>
      <name val="Arial"/>
      <family val="2"/>
    </font>
    <font>
      <sz val="9"/>
      <color rgb="FF1F1F1F"/>
      <name val="Arial"/>
      <family val="2"/>
    </font>
    <font>
      <sz val="9"/>
      <color rgb="FF9C0006"/>
      <name val="Arial"/>
      <family val="2"/>
    </font>
  </fonts>
  <fills count="10">
    <fill>
      <patternFill patternType="none"/>
    </fill>
    <fill>
      <patternFill patternType="gray125"/>
    </fill>
    <fill>
      <patternFill patternType="solid">
        <fgColor rgb="FF111111"/>
      </patternFill>
    </fill>
    <fill>
      <patternFill patternType="solid">
        <fgColor rgb="FFF1F1EC"/>
      </patternFill>
    </fill>
    <fill>
      <patternFill patternType="solid">
        <fgColor rgb="FFFFF2CC"/>
      </patternFill>
    </fill>
    <fill>
      <patternFill patternType="solid">
        <fgColor rgb="FF17365D"/>
      </patternFill>
    </fill>
    <fill>
      <patternFill patternType="solid">
        <fgColor rgb="FFE2F0D9"/>
      </patternFill>
    </fill>
    <fill>
      <patternFill patternType="solid">
        <fgColor rgb="FFFFF2CC"/>
      </patternFill>
    </fill>
    <fill>
      <patternFill patternType="solid">
        <fgColor rgb="FFFCE4D6"/>
      </patternFill>
    </fill>
    <fill>
      <patternFill patternType="solid">
        <fgColor rgb="FF101318"/>
      </patternFill>
    </fill>
  </fills>
  <borders count="3">
    <border>
      <left/>
      <right/>
      <top/>
      <bottom/>
      <diagonal/>
    </border>
    <border>
      <left/>
      <right/>
      <top/>
      <bottom style="medium">
        <color rgb="FFE8E200"/>
      </bottom>
      <diagonal/>
    </border>
    <border>
      <left/>
      <right/>
      <top/>
      <bottom style="hair">
        <color rgb="FFD9DEE5"/>
      </bottom>
      <diagonal/>
    </border>
  </borders>
  <cellStyleXfs count="1">
    <xf numFmtId="0" fontId="0" fillId="0" borderId="0"/>
  </cellStyleXfs>
  <cellXfs count="36">
    <xf numFmtId="0" fontId="0" fillId="0" borderId="0" xfId="0"/>
    <xf numFmtId="164" fontId="3" fillId="0" borderId="0" xfId="0" applyNumberFormat="1" applyFont="1" applyAlignment="1">
      <alignment vertical="top" wrapText="1"/>
    </xf>
    <xf numFmtId="0" fontId="3" fillId="0" borderId="0" xfId="0" applyFont="1" applyAlignment="1">
      <alignment vertical="top" wrapText="1"/>
    </xf>
    <xf numFmtId="165" fontId="3" fillId="0" borderId="0" xfId="0" applyNumberFormat="1" applyFont="1" applyAlignment="1">
      <alignment vertical="top" wrapText="1"/>
    </xf>
    <xf numFmtId="164" fontId="3" fillId="3" borderId="0" xfId="0" applyNumberFormat="1" applyFont="1" applyFill="1" applyAlignment="1">
      <alignment vertical="top" wrapText="1"/>
    </xf>
    <xf numFmtId="0" fontId="3" fillId="3" borderId="0" xfId="0" applyFont="1" applyFill="1" applyAlignment="1">
      <alignment vertical="top" wrapText="1"/>
    </xf>
    <xf numFmtId="165" fontId="3" fillId="3" borderId="0" xfId="0" applyNumberFormat="1" applyFont="1" applyFill="1" applyAlignment="1">
      <alignment vertical="top" wrapText="1"/>
    </xf>
    <xf numFmtId="0" fontId="4" fillId="9" borderId="1" xfId="0" applyFont="1" applyFill="1" applyBorder="1" applyAlignment="1">
      <alignment horizontal="center" vertical="center" wrapText="1"/>
    </xf>
    <xf numFmtId="0" fontId="7" fillId="0" borderId="2" xfId="0" applyFont="1" applyBorder="1" applyAlignment="1">
      <alignment vertical="top" wrapText="1"/>
    </xf>
    <xf numFmtId="0" fontId="8" fillId="0" borderId="2" xfId="0" applyFont="1" applyBorder="1" applyAlignment="1">
      <alignment vertical="top" wrapText="1"/>
    </xf>
    <xf numFmtId="0" fontId="2" fillId="0" borderId="2" xfId="0" applyFont="1" applyBorder="1" applyAlignment="1">
      <alignment vertical="top" wrapText="1"/>
    </xf>
    <xf numFmtId="0" fontId="2" fillId="3" borderId="2" xfId="0" applyFont="1" applyFill="1" applyBorder="1" applyAlignment="1">
      <alignment vertical="top" wrapText="1"/>
    </xf>
    <xf numFmtId="166" fontId="3" fillId="0" borderId="2" xfId="0" applyNumberFormat="1" applyFont="1" applyBorder="1" applyAlignment="1">
      <alignment vertical="top" wrapText="1"/>
    </xf>
    <xf numFmtId="0" fontId="3" fillId="0" borderId="2" xfId="0" applyFont="1" applyBorder="1" applyAlignment="1">
      <alignment vertical="top" wrapText="1"/>
    </xf>
    <xf numFmtId="167" fontId="9" fillId="7" borderId="2" xfId="0" applyNumberFormat="1" applyFont="1" applyFill="1" applyBorder="1" applyAlignment="1">
      <alignment vertical="top" wrapText="1"/>
    </xf>
    <xf numFmtId="167" fontId="12" fillId="8" borderId="0" xfId="0" applyNumberFormat="1" applyFont="1" applyFill="1" applyAlignment="1">
      <alignment vertical="top" wrapText="1"/>
    </xf>
    <xf numFmtId="168" fontId="3" fillId="0" borderId="2" xfId="0" applyNumberFormat="1" applyFont="1" applyBorder="1" applyAlignment="1">
      <alignment vertical="top" wrapText="1"/>
    </xf>
    <xf numFmtId="0" fontId="9" fillId="7" borderId="2" xfId="0" applyFont="1" applyFill="1" applyBorder="1" applyAlignment="1">
      <alignment vertical="top" wrapText="1"/>
    </xf>
    <xf numFmtId="166" fontId="3" fillId="3" borderId="2" xfId="0" applyNumberFormat="1" applyFont="1" applyFill="1" applyBorder="1" applyAlignment="1">
      <alignment vertical="top" wrapText="1"/>
    </xf>
    <xf numFmtId="0" fontId="3" fillId="3" borderId="2" xfId="0" applyFont="1" applyFill="1" applyBorder="1" applyAlignment="1">
      <alignment vertical="top" wrapText="1"/>
    </xf>
    <xf numFmtId="168" fontId="3" fillId="3" borderId="2" xfId="0" applyNumberFormat="1" applyFont="1" applyFill="1" applyBorder="1" applyAlignment="1">
      <alignment vertical="top" wrapText="1"/>
    </xf>
    <xf numFmtId="9" fontId="3" fillId="0" borderId="2" xfId="0" applyNumberFormat="1" applyFont="1" applyBorder="1" applyAlignment="1">
      <alignment vertical="top" wrapText="1"/>
    </xf>
    <xf numFmtId="9" fontId="3" fillId="3" borderId="2" xfId="0" applyNumberFormat="1" applyFont="1" applyFill="1" applyBorder="1" applyAlignment="1">
      <alignment vertical="top" wrapText="1"/>
    </xf>
    <xf numFmtId="9" fontId="2" fillId="3" borderId="2" xfId="0" applyNumberFormat="1" applyFont="1" applyFill="1" applyBorder="1" applyAlignment="1">
      <alignment vertical="top" wrapText="1"/>
    </xf>
    <xf numFmtId="1" fontId="3" fillId="3" borderId="2" xfId="0" applyNumberFormat="1" applyFont="1" applyFill="1" applyBorder="1" applyAlignment="1">
      <alignment vertical="top" wrapText="1"/>
    </xf>
    <xf numFmtId="9" fontId="2" fillId="0" borderId="2" xfId="0" applyNumberFormat="1" applyFont="1" applyBorder="1" applyAlignment="1">
      <alignment vertical="top" wrapText="1"/>
    </xf>
    <xf numFmtId="1" fontId="3" fillId="0" borderId="2" xfId="0" applyNumberFormat="1" applyFont="1" applyBorder="1" applyAlignment="1">
      <alignment vertical="top" wrapText="1"/>
    </xf>
    <xf numFmtId="0" fontId="10" fillId="0" borderId="2" xfId="0" applyFont="1" applyBorder="1" applyAlignment="1">
      <alignment vertical="top" wrapText="1"/>
    </xf>
    <xf numFmtId="0" fontId="1" fillId="5" borderId="2" xfId="0" applyFont="1" applyFill="1" applyBorder="1" applyAlignment="1">
      <alignment vertical="top" wrapText="1"/>
    </xf>
    <xf numFmtId="0" fontId="8" fillId="4" borderId="2" xfId="0" applyFont="1" applyFill="1" applyBorder="1" applyAlignment="1">
      <alignment vertical="top" wrapText="1"/>
    </xf>
    <xf numFmtId="0" fontId="11" fillId="6" borderId="2" xfId="0" applyFont="1" applyFill="1" applyBorder="1" applyAlignment="1">
      <alignment vertical="top" wrapText="1"/>
    </xf>
    <xf numFmtId="0" fontId="5" fillId="2" borderId="0" xfId="0" applyFont="1" applyFill="1" applyAlignment="1">
      <alignment vertical="center" wrapText="1"/>
    </xf>
    <xf numFmtId="0" fontId="0" fillId="0" borderId="0" xfId="0"/>
    <xf numFmtId="0" fontId="8" fillId="0" borderId="2" xfId="0" applyFont="1" applyBorder="1" applyAlignment="1">
      <alignment vertical="top" wrapText="1"/>
    </xf>
    <xf numFmtId="0" fontId="6" fillId="0" borderId="0" xfId="0" applyFont="1" applyAlignment="1">
      <alignment vertical="center" wrapText="1"/>
    </xf>
    <xf numFmtId="0" fontId="1" fillId="2" borderId="2"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14"/>
  <sheetViews>
    <sheetView showGridLines="0" tabSelected="1" workbookViewId="0">
      <pane ySplit="3" topLeftCell="A4" activePane="bottomLeft" state="frozen"/>
      <selection pane="bottomLeft" activeCell="A12" sqref="A12:B12"/>
    </sheetView>
  </sheetViews>
  <sheetFormatPr baseColWidth="10" defaultColWidth="8.83203125" defaultRowHeight="15" x14ac:dyDescent="0.2"/>
  <cols>
    <col min="1" max="1" width="66" customWidth="1"/>
    <col min="2" max="2" width="78" customWidth="1"/>
  </cols>
  <sheetData>
    <row r="1" spans="1:2" ht="30" customHeight="1" x14ac:dyDescent="0.2">
      <c r="A1" s="31" t="s">
        <v>59</v>
      </c>
      <c r="B1" s="32"/>
    </row>
    <row r="2" spans="1:2" ht="36" customHeight="1" x14ac:dyDescent="0.2">
      <c r="A2" s="34" t="s">
        <v>60</v>
      </c>
      <c r="B2" s="32"/>
    </row>
    <row r="4" spans="1:2" ht="46" customHeight="1" x14ac:dyDescent="0.2">
      <c r="A4" s="7" t="s">
        <v>61</v>
      </c>
      <c r="B4" s="7" t="s">
        <v>62</v>
      </c>
    </row>
    <row r="5" spans="1:2" ht="38" customHeight="1" x14ac:dyDescent="0.2">
      <c r="A5" s="8" t="s">
        <v>63</v>
      </c>
      <c r="B5" s="9" t="s">
        <v>64</v>
      </c>
    </row>
    <row r="6" spans="1:2" ht="38" customHeight="1" x14ac:dyDescent="0.2">
      <c r="A6" s="9" t="s">
        <v>65</v>
      </c>
      <c r="B6" s="9" t="s">
        <v>66</v>
      </c>
    </row>
    <row r="7" spans="1:2" ht="38" customHeight="1" x14ac:dyDescent="0.2">
      <c r="A7" s="9" t="s">
        <v>67</v>
      </c>
      <c r="B7" s="9" t="s">
        <v>68</v>
      </c>
    </row>
    <row r="8" spans="1:2" ht="38" customHeight="1" x14ac:dyDescent="0.2">
      <c r="A8" s="9" t="s">
        <v>69</v>
      </c>
      <c r="B8" s="9" t="s">
        <v>70</v>
      </c>
    </row>
    <row r="9" spans="1:2" ht="38" customHeight="1" x14ac:dyDescent="0.2">
      <c r="A9" s="9" t="s">
        <v>71</v>
      </c>
      <c r="B9" s="9" t="s">
        <v>72</v>
      </c>
    </row>
    <row r="10" spans="1:2" ht="38" customHeight="1" x14ac:dyDescent="0.2">
      <c r="A10" s="9" t="s">
        <v>73</v>
      </c>
      <c r="B10" s="9" t="s">
        <v>74</v>
      </c>
    </row>
    <row r="11" spans="1:2" ht="38" customHeight="1" x14ac:dyDescent="0.2">
      <c r="A11" s="9" t="s">
        <v>75</v>
      </c>
      <c r="B11" s="9" t="s">
        <v>76</v>
      </c>
    </row>
    <row r="12" spans="1:2" ht="38" customHeight="1" x14ac:dyDescent="0.2">
      <c r="A12" s="35" t="s">
        <v>77</v>
      </c>
      <c r="B12" s="32"/>
    </row>
    <row r="13" spans="1:2" ht="38" customHeight="1" x14ac:dyDescent="0.2">
      <c r="A13" s="33" t="s">
        <v>77</v>
      </c>
      <c r="B13" s="32"/>
    </row>
    <row r="14" spans="1:2" ht="38" customHeight="1" x14ac:dyDescent="0.2">
      <c r="A14" s="9" t="s">
        <v>78</v>
      </c>
    </row>
  </sheetData>
  <mergeCells count="4">
    <mergeCell ref="A13:B13"/>
    <mergeCell ref="A2:B2"/>
    <mergeCell ref="A1:B1"/>
    <mergeCell ref="A12:B12"/>
  </mergeCells>
  <pageMargins left="0.25" right="0.25" top="1" bottom="1" header="0.5" footer="0.5"/>
  <pageSetup fitToHeight="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12"/>
  <sheetViews>
    <sheetView showGridLines="0" workbookViewId="0">
      <pane ySplit="3" topLeftCell="A4" activePane="bottomLeft" state="frozen"/>
      <selection pane="bottomLeft" sqref="A1:E1"/>
    </sheetView>
  </sheetViews>
  <sheetFormatPr baseColWidth="10" defaultColWidth="8.83203125" defaultRowHeight="15" x14ac:dyDescent="0.2"/>
  <cols>
    <col min="1" max="1" width="22" customWidth="1"/>
    <col min="2" max="2" width="43" customWidth="1"/>
    <col min="3" max="3" width="48" customWidth="1"/>
    <col min="4" max="4" width="43" customWidth="1"/>
    <col min="5" max="5" width="48" customWidth="1"/>
  </cols>
  <sheetData>
    <row r="1" spans="1:5" ht="30" customHeight="1" x14ac:dyDescent="0.2">
      <c r="A1" s="31" t="s">
        <v>79</v>
      </c>
      <c r="B1" s="32"/>
      <c r="C1" s="32"/>
      <c r="D1" s="32"/>
      <c r="E1" s="32"/>
    </row>
    <row r="2" spans="1:5" ht="36" customHeight="1" x14ac:dyDescent="0.2">
      <c r="A2" s="34" t="s">
        <v>80</v>
      </c>
      <c r="B2" s="32"/>
      <c r="C2" s="32"/>
      <c r="D2" s="32"/>
      <c r="E2" s="32"/>
    </row>
    <row r="4" spans="1:5" ht="46" customHeight="1" x14ac:dyDescent="0.2">
      <c r="A4" s="7" t="s">
        <v>81</v>
      </c>
      <c r="B4" s="7" t="s">
        <v>82</v>
      </c>
      <c r="C4" s="7" t="s">
        <v>83</v>
      </c>
      <c r="D4" s="7" t="s">
        <v>84</v>
      </c>
      <c r="E4" s="7" t="s">
        <v>85</v>
      </c>
    </row>
    <row r="5" spans="1:5" ht="38" customHeight="1" x14ac:dyDescent="0.2">
      <c r="A5" s="10" t="s">
        <v>86</v>
      </c>
      <c r="B5" s="10" t="s">
        <v>87</v>
      </c>
      <c r="C5" s="10" t="s">
        <v>88</v>
      </c>
      <c r="D5" s="10" t="s">
        <v>89</v>
      </c>
      <c r="E5" s="10" t="s">
        <v>90</v>
      </c>
    </row>
    <row r="6" spans="1:5" ht="38" customHeight="1" x14ac:dyDescent="0.2">
      <c r="A6" s="11" t="s">
        <v>91</v>
      </c>
      <c r="B6" s="11" t="s">
        <v>92</v>
      </c>
      <c r="C6" s="11" t="s">
        <v>93</v>
      </c>
      <c r="D6" s="11" t="s">
        <v>94</v>
      </c>
      <c r="E6" s="11" t="s">
        <v>95</v>
      </c>
    </row>
    <row r="7" spans="1:5" ht="38" customHeight="1" x14ac:dyDescent="0.2">
      <c r="A7" s="10" t="s">
        <v>96</v>
      </c>
      <c r="B7" s="10" t="s">
        <v>97</v>
      </c>
      <c r="C7" s="10" t="s">
        <v>98</v>
      </c>
      <c r="D7" s="10" t="s">
        <v>99</v>
      </c>
      <c r="E7" s="10" t="s">
        <v>100</v>
      </c>
    </row>
    <row r="8" spans="1:5" ht="38" customHeight="1" x14ac:dyDescent="0.2">
      <c r="A8" s="11" t="s">
        <v>101</v>
      </c>
      <c r="B8" s="11" t="s">
        <v>102</v>
      </c>
      <c r="C8" s="11" t="s">
        <v>103</v>
      </c>
      <c r="D8" s="11" t="s">
        <v>104</v>
      </c>
      <c r="E8" s="11" t="s">
        <v>105</v>
      </c>
    </row>
    <row r="9" spans="1:5" ht="38" customHeight="1" x14ac:dyDescent="0.2">
      <c r="A9" s="10" t="s">
        <v>106</v>
      </c>
      <c r="B9" s="10" t="s">
        <v>107</v>
      </c>
      <c r="C9" s="10" t="s">
        <v>108</v>
      </c>
      <c r="D9" s="10" t="s">
        <v>109</v>
      </c>
      <c r="E9" s="10" t="s">
        <v>110</v>
      </c>
    </row>
    <row r="10" spans="1:5" ht="38" customHeight="1" x14ac:dyDescent="0.2">
      <c r="A10" s="11" t="s">
        <v>111</v>
      </c>
      <c r="B10" s="11" t="s">
        <v>112</v>
      </c>
      <c r="C10" s="11" t="s">
        <v>113</v>
      </c>
      <c r="D10" s="11" t="s">
        <v>114</v>
      </c>
      <c r="E10" s="11" t="s">
        <v>115</v>
      </c>
    </row>
    <row r="11" spans="1:5" ht="38" customHeight="1" x14ac:dyDescent="0.2">
      <c r="A11" s="10" t="s">
        <v>116</v>
      </c>
      <c r="B11" s="10" t="s">
        <v>117</v>
      </c>
      <c r="C11" s="10" t="s">
        <v>118</v>
      </c>
      <c r="D11" s="10" t="s">
        <v>119</v>
      </c>
      <c r="E11" s="10" t="s">
        <v>120</v>
      </c>
    </row>
    <row r="12" spans="1:5" ht="38" customHeight="1" x14ac:dyDescent="0.2">
      <c r="A12" s="11" t="s">
        <v>121</v>
      </c>
      <c r="B12" s="11" t="s">
        <v>122</v>
      </c>
      <c r="C12" s="11" t="s">
        <v>123</v>
      </c>
      <c r="D12" s="11" t="s">
        <v>124</v>
      </c>
      <c r="E12" s="11" t="s">
        <v>125</v>
      </c>
    </row>
  </sheetData>
  <autoFilter ref="A4:E12" xr:uid="{00000000-0009-0000-0000-000001000000}"/>
  <mergeCells count="2">
    <mergeCell ref="A2:E2"/>
    <mergeCell ref="A1:E1"/>
  </mergeCells>
  <pageMargins left="0.25" right="0.25" top="1" bottom="1" header="0.5" footer="0.5"/>
  <pageSetup fitToHeight="0"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11"/>
  <sheetViews>
    <sheetView showGridLines="0" workbookViewId="0">
      <pane ySplit="4" topLeftCell="A5" activePane="bottomLeft" state="frozen"/>
      <selection pane="bottomLeft" sqref="A1:G1"/>
    </sheetView>
  </sheetViews>
  <sheetFormatPr baseColWidth="10" defaultColWidth="8.83203125" defaultRowHeight="15" x14ac:dyDescent="0.2"/>
  <cols>
    <col min="1" max="1" width="28" customWidth="1"/>
    <col min="2" max="6" width="39" customWidth="1"/>
    <col min="7" max="7" width="42" customWidth="1"/>
  </cols>
  <sheetData>
    <row r="1" spans="1:7" ht="30" customHeight="1" x14ac:dyDescent="0.2">
      <c r="A1" s="31" t="s">
        <v>126</v>
      </c>
      <c r="B1" s="32"/>
      <c r="C1" s="32"/>
      <c r="D1" s="32"/>
      <c r="E1" s="32"/>
      <c r="F1" s="32"/>
      <c r="G1" s="32"/>
    </row>
    <row r="2" spans="1:7" ht="36" customHeight="1" x14ac:dyDescent="0.2">
      <c r="A2" s="34" t="s">
        <v>127</v>
      </c>
      <c r="B2" s="32"/>
      <c r="C2" s="32"/>
      <c r="D2" s="32"/>
      <c r="E2" s="32"/>
      <c r="F2" s="32"/>
      <c r="G2" s="32"/>
    </row>
    <row r="4" spans="1:7" ht="46" customHeight="1" x14ac:dyDescent="0.2">
      <c r="A4" s="7" t="s">
        <v>128</v>
      </c>
      <c r="B4" s="7" t="s">
        <v>86</v>
      </c>
      <c r="C4" s="7" t="s">
        <v>91</v>
      </c>
      <c r="D4" s="7" t="s">
        <v>96</v>
      </c>
      <c r="E4" s="7" t="s">
        <v>101</v>
      </c>
      <c r="F4" s="7" t="s">
        <v>106</v>
      </c>
      <c r="G4" s="7" t="s">
        <v>129</v>
      </c>
    </row>
    <row r="5" spans="1:7" ht="38" customHeight="1" x14ac:dyDescent="0.2">
      <c r="A5" s="10" t="s">
        <v>130</v>
      </c>
      <c r="B5" s="10" t="s">
        <v>131</v>
      </c>
      <c r="C5" s="10" t="s">
        <v>132</v>
      </c>
      <c r="D5" s="10" t="s">
        <v>133</v>
      </c>
      <c r="E5" s="10" t="s">
        <v>134</v>
      </c>
      <c r="F5" s="10" t="s">
        <v>135</v>
      </c>
      <c r="G5" s="10" t="s">
        <v>136</v>
      </c>
    </row>
    <row r="6" spans="1:7" ht="38" customHeight="1" x14ac:dyDescent="0.2">
      <c r="A6" s="11" t="s">
        <v>137</v>
      </c>
      <c r="B6" s="11" t="s">
        <v>138</v>
      </c>
      <c r="C6" s="11" t="s">
        <v>139</v>
      </c>
      <c r="D6" s="11" t="s">
        <v>140</v>
      </c>
      <c r="E6" s="11" t="s">
        <v>141</v>
      </c>
      <c r="F6" s="11" t="s">
        <v>142</v>
      </c>
      <c r="G6" s="11" t="s">
        <v>143</v>
      </c>
    </row>
    <row r="7" spans="1:7" ht="38" customHeight="1" x14ac:dyDescent="0.2">
      <c r="A7" s="10" t="s">
        <v>144</v>
      </c>
      <c r="B7" s="10" t="s">
        <v>145</v>
      </c>
      <c r="C7" s="10" t="s">
        <v>145</v>
      </c>
      <c r="D7" s="10" t="s">
        <v>146</v>
      </c>
      <c r="E7" s="10" t="s">
        <v>147</v>
      </c>
      <c r="F7" s="10" t="s">
        <v>148</v>
      </c>
      <c r="G7" s="10" t="s">
        <v>149</v>
      </c>
    </row>
    <row r="8" spans="1:7" ht="38" customHeight="1" x14ac:dyDescent="0.2">
      <c r="A8" s="11" t="s">
        <v>150</v>
      </c>
      <c r="B8" s="11" t="s">
        <v>151</v>
      </c>
      <c r="C8" s="11" t="s">
        <v>152</v>
      </c>
      <c r="D8" s="11" t="s">
        <v>153</v>
      </c>
      <c r="E8" s="11" t="s">
        <v>154</v>
      </c>
      <c r="F8" s="11" t="s">
        <v>155</v>
      </c>
      <c r="G8" s="11" t="s">
        <v>156</v>
      </c>
    </row>
    <row r="9" spans="1:7" ht="38" customHeight="1" x14ac:dyDescent="0.2">
      <c r="A9" s="10" t="s">
        <v>157</v>
      </c>
      <c r="B9" s="10" t="s">
        <v>158</v>
      </c>
      <c r="C9" s="10" t="s">
        <v>159</v>
      </c>
      <c r="D9" s="10" t="s">
        <v>160</v>
      </c>
      <c r="E9" s="10" t="s">
        <v>161</v>
      </c>
      <c r="F9" s="10" t="s">
        <v>162</v>
      </c>
      <c r="G9" s="10" t="s">
        <v>163</v>
      </c>
    </row>
    <row r="10" spans="1:7" ht="38" customHeight="1" x14ac:dyDescent="0.2">
      <c r="A10" s="11" t="s">
        <v>164</v>
      </c>
      <c r="B10" s="11" t="s">
        <v>165</v>
      </c>
      <c r="C10" s="11" t="s">
        <v>165</v>
      </c>
      <c r="D10" s="11" t="s">
        <v>165</v>
      </c>
      <c r="E10" s="11" t="s">
        <v>166</v>
      </c>
      <c r="F10" s="11" t="s">
        <v>167</v>
      </c>
      <c r="G10" s="11" t="s">
        <v>168</v>
      </c>
    </row>
    <row r="11" spans="1:7" ht="38" customHeight="1" x14ac:dyDescent="0.2">
      <c r="A11" s="10" t="s">
        <v>169</v>
      </c>
      <c r="B11" s="10" t="s">
        <v>170</v>
      </c>
      <c r="C11" s="10" t="s">
        <v>171</v>
      </c>
      <c r="D11" s="10" t="s">
        <v>172</v>
      </c>
      <c r="E11" s="10" t="s">
        <v>173</v>
      </c>
      <c r="F11" s="10" t="s">
        <v>174</v>
      </c>
      <c r="G11" s="10" t="s">
        <v>175</v>
      </c>
    </row>
  </sheetData>
  <autoFilter ref="A4:G11" xr:uid="{00000000-0009-0000-0000-000002000000}"/>
  <mergeCells count="2">
    <mergeCell ref="A2:G2"/>
    <mergeCell ref="A1:G1"/>
  </mergeCells>
  <pageMargins left="0.25" right="0.25" top="1" bottom="1" header="0.5" footer="0.5"/>
  <pageSetup fitToHeight="0"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L34"/>
  <sheetViews>
    <sheetView showGridLines="0" workbookViewId="0">
      <pane ySplit="4" topLeftCell="A5" activePane="bottomLeft" state="frozen"/>
      <selection pane="bottomLeft" sqref="A1:L1"/>
    </sheetView>
  </sheetViews>
  <sheetFormatPr baseColWidth="10" defaultColWidth="8.83203125" defaultRowHeight="15" x14ac:dyDescent="0.2"/>
  <cols>
    <col min="1" max="1" width="23" customWidth="1"/>
    <col min="2" max="2" width="20" customWidth="1"/>
    <col min="3" max="3" width="32" customWidth="1"/>
    <col min="4" max="4" width="23" customWidth="1"/>
    <col min="5" max="5" width="28" customWidth="1"/>
    <col min="6" max="6" width="20" customWidth="1"/>
    <col min="7" max="7" width="23" customWidth="1"/>
    <col min="8" max="8" width="18" customWidth="1"/>
    <col min="9" max="9" width="30" customWidth="1"/>
    <col min="10" max="10" width="34" customWidth="1"/>
    <col min="11" max="11" width="68" customWidth="1"/>
    <col min="12" max="12" width="29" customWidth="1"/>
  </cols>
  <sheetData>
    <row r="1" spans="1:12" ht="30" customHeight="1" x14ac:dyDescent="0.2">
      <c r="A1" s="31" t="s">
        <v>176</v>
      </c>
      <c r="B1" s="32"/>
      <c r="C1" s="32"/>
      <c r="D1" s="32"/>
      <c r="E1" s="32"/>
      <c r="F1" s="32"/>
      <c r="G1" s="32"/>
      <c r="H1" s="32"/>
      <c r="I1" s="32"/>
      <c r="J1" s="32"/>
      <c r="K1" s="32"/>
      <c r="L1" s="32"/>
    </row>
    <row r="2" spans="1:12" ht="36" customHeight="1" x14ac:dyDescent="0.2">
      <c r="A2" s="34" t="s">
        <v>177</v>
      </c>
      <c r="B2" s="32"/>
      <c r="C2" s="32"/>
      <c r="D2" s="32"/>
      <c r="E2" s="32"/>
      <c r="F2" s="32"/>
      <c r="G2" s="32"/>
      <c r="H2" s="32"/>
      <c r="I2" s="32"/>
      <c r="J2" s="32"/>
      <c r="K2" s="32"/>
      <c r="L2" s="32"/>
    </row>
    <row r="4" spans="1:12" ht="46" customHeight="1" x14ac:dyDescent="0.2">
      <c r="A4" s="7" t="s">
        <v>178</v>
      </c>
      <c r="B4" s="7" t="s">
        <v>81</v>
      </c>
      <c r="C4" s="7" t="s">
        <v>179</v>
      </c>
      <c r="D4" s="7" t="s">
        <v>180</v>
      </c>
      <c r="E4" s="7" t="s">
        <v>181</v>
      </c>
      <c r="F4" s="7" t="s">
        <v>182</v>
      </c>
      <c r="G4" s="7" t="s">
        <v>183</v>
      </c>
      <c r="H4" s="7" t="s">
        <v>184</v>
      </c>
      <c r="I4" s="7" t="s">
        <v>185</v>
      </c>
      <c r="J4" s="7" t="s">
        <v>186</v>
      </c>
      <c r="K4" s="7" t="s">
        <v>187</v>
      </c>
      <c r="L4" s="7" t="s">
        <v>188</v>
      </c>
    </row>
    <row r="5" spans="1:12" ht="48" customHeight="1" x14ac:dyDescent="0.2">
      <c r="A5" s="12" t="s">
        <v>189</v>
      </c>
      <c r="B5" s="13" t="s">
        <v>86</v>
      </c>
      <c r="C5" s="13" t="s">
        <v>190</v>
      </c>
      <c r="D5" s="13" t="s">
        <v>191</v>
      </c>
      <c r="E5" s="13" t="s">
        <v>192</v>
      </c>
      <c r="F5" s="14">
        <v>4695</v>
      </c>
      <c r="G5" s="15"/>
      <c r="H5" s="16" t="str">
        <f t="shared" ref="H5:H28" si="0">IF(OR(F5="",G5=""),"",IFERROR(1-G5/F5,""))</f>
        <v/>
      </c>
      <c r="I5" s="13" t="s">
        <v>193</v>
      </c>
      <c r="J5" s="13" t="s">
        <v>194</v>
      </c>
      <c r="K5" s="13" t="s">
        <v>195</v>
      </c>
      <c r="L5" s="17" t="s">
        <v>196</v>
      </c>
    </row>
    <row r="6" spans="1:12" ht="48" customHeight="1" x14ac:dyDescent="0.2">
      <c r="A6" s="18" t="s">
        <v>189</v>
      </c>
      <c r="B6" s="19" t="s">
        <v>86</v>
      </c>
      <c r="C6" s="19" t="s">
        <v>197</v>
      </c>
      <c r="D6" s="19" t="s">
        <v>191</v>
      </c>
      <c r="E6" s="19" t="s">
        <v>198</v>
      </c>
      <c r="F6" s="14">
        <v>4695</v>
      </c>
      <c r="G6" s="15"/>
      <c r="H6" s="20" t="str">
        <f t="shared" si="0"/>
        <v/>
      </c>
      <c r="I6" s="19" t="s">
        <v>193</v>
      </c>
      <c r="J6" s="19" t="s">
        <v>194</v>
      </c>
      <c r="K6" s="19" t="s">
        <v>195</v>
      </c>
      <c r="L6" s="17" t="s">
        <v>196</v>
      </c>
    </row>
    <row r="7" spans="1:12" ht="48" customHeight="1" x14ac:dyDescent="0.2">
      <c r="A7" s="12" t="s">
        <v>189</v>
      </c>
      <c r="B7" s="13" t="s">
        <v>86</v>
      </c>
      <c r="C7" s="13" t="s">
        <v>199</v>
      </c>
      <c r="D7" s="13" t="s">
        <v>200</v>
      </c>
      <c r="E7" s="13" t="s">
        <v>201</v>
      </c>
      <c r="F7" s="14">
        <v>5695</v>
      </c>
      <c r="G7" s="15"/>
      <c r="H7" s="16" t="str">
        <f t="shared" si="0"/>
        <v/>
      </c>
      <c r="I7" s="13" t="s">
        <v>193</v>
      </c>
      <c r="J7" s="13" t="s">
        <v>194</v>
      </c>
      <c r="K7" s="13" t="s">
        <v>195</v>
      </c>
      <c r="L7" s="17" t="s">
        <v>196</v>
      </c>
    </row>
    <row r="8" spans="1:12" ht="48" customHeight="1" x14ac:dyDescent="0.2">
      <c r="A8" s="18" t="s">
        <v>189</v>
      </c>
      <c r="B8" s="19" t="s">
        <v>91</v>
      </c>
      <c r="C8" s="19" t="s">
        <v>202</v>
      </c>
      <c r="D8" s="19" t="s">
        <v>191</v>
      </c>
      <c r="E8" s="19" t="s">
        <v>192</v>
      </c>
      <c r="F8" s="14">
        <v>5599</v>
      </c>
      <c r="G8" s="15"/>
      <c r="H8" s="20" t="str">
        <f t="shared" si="0"/>
        <v/>
      </c>
      <c r="I8" s="19" t="s">
        <v>193</v>
      </c>
      <c r="J8" s="19" t="s">
        <v>203</v>
      </c>
      <c r="K8" s="19" t="s">
        <v>195</v>
      </c>
      <c r="L8" s="17" t="s">
        <v>196</v>
      </c>
    </row>
    <row r="9" spans="1:12" ht="48" customHeight="1" x14ac:dyDescent="0.2">
      <c r="A9" s="12" t="s">
        <v>189</v>
      </c>
      <c r="B9" s="13" t="s">
        <v>91</v>
      </c>
      <c r="C9" s="13" t="s">
        <v>204</v>
      </c>
      <c r="D9" s="13" t="s">
        <v>191</v>
      </c>
      <c r="E9" s="13" t="s">
        <v>205</v>
      </c>
      <c r="F9" s="14">
        <v>6599</v>
      </c>
      <c r="G9" s="15"/>
      <c r="H9" s="16" t="str">
        <f t="shared" si="0"/>
        <v/>
      </c>
      <c r="I9" s="13" t="s">
        <v>193</v>
      </c>
      <c r="J9" s="13" t="s">
        <v>203</v>
      </c>
      <c r="K9" s="13" t="s">
        <v>195</v>
      </c>
      <c r="L9" s="17" t="s">
        <v>196</v>
      </c>
    </row>
    <row r="10" spans="1:12" ht="48" customHeight="1" x14ac:dyDescent="0.2">
      <c r="A10" s="18" t="s">
        <v>189</v>
      </c>
      <c r="B10" s="19" t="s">
        <v>91</v>
      </c>
      <c r="C10" s="19" t="s">
        <v>206</v>
      </c>
      <c r="D10" s="19" t="s">
        <v>200</v>
      </c>
      <c r="E10" s="19" t="s">
        <v>201</v>
      </c>
      <c r="F10" s="14">
        <v>6599</v>
      </c>
      <c r="G10" s="15"/>
      <c r="H10" s="20" t="str">
        <f t="shared" si="0"/>
        <v/>
      </c>
      <c r="I10" s="19" t="s">
        <v>193</v>
      </c>
      <c r="J10" s="19" t="s">
        <v>203</v>
      </c>
      <c r="K10" s="19" t="s">
        <v>195</v>
      </c>
      <c r="L10" s="17" t="s">
        <v>196</v>
      </c>
    </row>
    <row r="11" spans="1:12" ht="48" customHeight="1" x14ac:dyDescent="0.2">
      <c r="A11" s="12" t="s">
        <v>189</v>
      </c>
      <c r="B11" s="13" t="s">
        <v>96</v>
      </c>
      <c r="C11" s="13" t="s">
        <v>207</v>
      </c>
      <c r="D11" s="13" t="s">
        <v>200</v>
      </c>
      <c r="E11" s="13" t="s">
        <v>201</v>
      </c>
      <c r="F11" s="14">
        <v>5999</v>
      </c>
      <c r="G11" s="15"/>
      <c r="H11" s="16" t="str">
        <f t="shared" si="0"/>
        <v/>
      </c>
      <c r="I11" s="13" t="s">
        <v>193</v>
      </c>
      <c r="J11" s="13" t="s">
        <v>208</v>
      </c>
      <c r="K11" s="13" t="s">
        <v>195</v>
      </c>
      <c r="L11" s="17" t="s">
        <v>196</v>
      </c>
    </row>
    <row r="12" spans="1:12" ht="48" customHeight="1" x14ac:dyDescent="0.2">
      <c r="A12" s="18" t="s">
        <v>189</v>
      </c>
      <c r="B12" s="19" t="s">
        <v>96</v>
      </c>
      <c r="C12" s="19" t="s">
        <v>209</v>
      </c>
      <c r="D12" s="19" t="s">
        <v>191</v>
      </c>
      <c r="E12" s="19" t="s">
        <v>210</v>
      </c>
      <c r="F12" s="14">
        <v>7999</v>
      </c>
      <c r="G12" s="15"/>
      <c r="H12" s="20" t="str">
        <f t="shared" si="0"/>
        <v/>
      </c>
      <c r="I12" s="19" t="s">
        <v>193</v>
      </c>
      <c r="J12" s="19" t="s">
        <v>208</v>
      </c>
      <c r="K12" s="19" t="s">
        <v>195</v>
      </c>
      <c r="L12" s="17" t="s">
        <v>196</v>
      </c>
    </row>
    <row r="13" spans="1:12" ht="48" customHeight="1" x14ac:dyDescent="0.2">
      <c r="A13" s="12" t="s">
        <v>189</v>
      </c>
      <c r="B13" s="13" t="s">
        <v>96</v>
      </c>
      <c r="C13" s="13" t="s">
        <v>211</v>
      </c>
      <c r="D13" s="13" t="s">
        <v>191</v>
      </c>
      <c r="E13" s="13" t="s">
        <v>192</v>
      </c>
      <c r="F13" s="14">
        <v>4999</v>
      </c>
      <c r="G13" s="15"/>
      <c r="H13" s="16" t="str">
        <f t="shared" si="0"/>
        <v/>
      </c>
      <c r="I13" s="13" t="s">
        <v>193</v>
      </c>
      <c r="J13" s="13" t="s">
        <v>208</v>
      </c>
      <c r="K13" s="13" t="s">
        <v>195</v>
      </c>
      <c r="L13" s="17" t="s">
        <v>196</v>
      </c>
    </row>
    <row r="14" spans="1:12" ht="48" customHeight="1" x14ac:dyDescent="0.2">
      <c r="A14" s="18" t="s">
        <v>189</v>
      </c>
      <c r="B14" s="19" t="s">
        <v>101</v>
      </c>
      <c r="C14" s="19" t="s">
        <v>212</v>
      </c>
      <c r="D14" s="19" t="s">
        <v>191</v>
      </c>
      <c r="E14" s="19" t="s">
        <v>213</v>
      </c>
      <c r="F14" s="14">
        <v>5999</v>
      </c>
      <c r="G14" s="15"/>
      <c r="H14" s="20" t="str">
        <f t="shared" si="0"/>
        <v/>
      </c>
      <c r="I14" s="19" t="s">
        <v>193</v>
      </c>
      <c r="J14" s="19" t="s">
        <v>214</v>
      </c>
      <c r="K14" s="19" t="s">
        <v>195</v>
      </c>
      <c r="L14" s="17" t="s">
        <v>196</v>
      </c>
    </row>
    <row r="15" spans="1:12" ht="48" customHeight="1" x14ac:dyDescent="0.2">
      <c r="A15" s="12" t="s">
        <v>189</v>
      </c>
      <c r="B15" s="13" t="s">
        <v>101</v>
      </c>
      <c r="C15" s="13" t="s">
        <v>215</v>
      </c>
      <c r="D15" s="13" t="s">
        <v>200</v>
      </c>
      <c r="E15" s="13" t="s">
        <v>216</v>
      </c>
      <c r="F15" s="14">
        <v>4999</v>
      </c>
      <c r="G15" s="15"/>
      <c r="H15" s="16" t="str">
        <f t="shared" si="0"/>
        <v/>
      </c>
      <c r="I15" s="13" t="s">
        <v>193</v>
      </c>
      <c r="J15" s="13" t="s">
        <v>214</v>
      </c>
      <c r="K15" s="13" t="s">
        <v>195</v>
      </c>
      <c r="L15" s="17" t="s">
        <v>196</v>
      </c>
    </row>
    <row r="16" spans="1:12" ht="48" customHeight="1" x14ac:dyDescent="0.2">
      <c r="A16" s="18" t="s">
        <v>189</v>
      </c>
      <c r="B16" s="19" t="s">
        <v>101</v>
      </c>
      <c r="C16" s="19" t="s">
        <v>217</v>
      </c>
      <c r="D16" s="19" t="s">
        <v>218</v>
      </c>
      <c r="E16" s="19" t="s">
        <v>219</v>
      </c>
      <c r="F16" s="14">
        <v>5999</v>
      </c>
      <c r="G16" s="15"/>
      <c r="H16" s="20" t="str">
        <f t="shared" si="0"/>
        <v/>
      </c>
      <c r="I16" s="19" t="s">
        <v>193</v>
      </c>
      <c r="J16" s="19" t="s">
        <v>214</v>
      </c>
      <c r="K16" s="19" t="s">
        <v>195</v>
      </c>
      <c r="L16" s="17" t="s">
        <v>196</v>
      </c>
    </row>
    <row r="17" spans="1:12" ht="48" customHeight="1" x14ac:dyDescent="0.2">
      <c r="A17" s="12" t="s">
        <v>189</v>
      </c>
      <c r="B17" s="13" t="s">
        <v>106</v>
      </c>
      <c r="C17" s="13" t="s">
        <v>220</v>
      </c>
      <c r="D17" s="13" t="s">
        <v>191</v>
      </c>
      <c r="E17" s="13" t="s">
        <v>221</v>
      </c>
      <c r="F17" s="14">
        <v>1999</v>
      </c>
      <c r="G17" s="15"/>
      <c r="H17" s="16" t="str">
        <f t="shared" si="0"/>
        <v/>
      </c>
      <c r="I17" s="13" t="s">
        <v>193</v>
      </c>
      <c r="J17" s="13" t="s">
        <v>222</v>
      </c>
      <c r="K17" s="13" t="s">
        <v>195</v>
      </c>
      <c r="L17" s="17" t="s">
        <v>196</v>
      </c>
    </row>
    <row r="18" spans="1:12" ht="48" customHeight="1" x14ac:dyDescent="0.2">
      <c r="A18" s="18" t="s">
        <v>189</v>
      </c>
      <c r="B18" s="19" t="s">
        <v>106</v>
      </c>
      <c r="C18" s="19" t="s">
        <v>223</v>
      </c>
      <c r="D18" s="19" t="s">
        <v>191</v>
      </c>
      <c r="E18" s="19" t="s">
        <v>224</v>
      </c>
      <c r="F18" s="14">
        <v>2999</v>
      </c>
      <c r="G18" s="15"/>
      <c r="H18" s="20" t="str">
        <f t="shared" si="0"/>
        <v/>
      </c>
      <c r="I18" s="19" t="s">
        <v>193</v>
      </c>
      <c r="J18" s="19" t="s">
        <v>222</v>
      </c>
      <c r="K18" s="19" t="s">
        <v>195</v>
      </c>
      <c r="L18" s="17" t="s">
        <v>196</v>
      </c>
    </row>
    <row r="19" spans="1:12" ht="48" customHeight="1" x14ac:dyDescent="0.2">
      <c r="A19" s="12" t="s">
        <v>189</v>
      </c>
      <c r="B19" s="13" t="s">
        <v>106</v>
      </c>
      <c r="C19" s="13" t="s">
        <v>225</v>
      </c>
      <c r="D19" s="13" t="s">
        <v>191</v>
      </c>
      <c r="E19" s="13" t="s">
        <v>205</v>
      </c>
      <c r="F19" s="14">
        <v>3999</v>
      </c>
      <c r="G19" s="15"/>
      <c r="H19" s="16" t="str">
        <f t="shared" si="0"/>
        <v/>
      </c>
      <c r="I19" s="13" t="s">
        <v>193</v>
      </c>
      <c r="J19" s="13" t="s">
        <v>222</v>
      </c>
      <c r="K19" s="13" t="s">
        <v>195</v>
      </c>
      <c r="L19" s="17" t="s">
        <v>196</v>
      </c>
    </row>
    <row r="20" spans="1:12" ht="48" customHeight="1" x14ac:dyDescent="0.2">
      <c r="A20" s="18" t="s">
        <v>189</v>
      </c>
      <c r="B20" s="19" t="s">
        <v>111</v>
      </c>
      <c r="C20" s="19" t="s">
        <v>226</v>
      </c>
      <c r="D20" s="19" t="s">
        <v>227</v>
      </c>
      <c r="E20" s="19" t="s">
        <v>228</v>
      </c>
      <c r="F20" s="14">
        <v>1999</v>
      </c>
      <c r="G20" s="15"/>
      <c r="H20" s="20" t="str">
        <f t="shared" si="0"/>
        <v/>
      </c>
      <c r="I20" s="19" t="s">
        <v>193</v>
      </c>
      <c r="J20" s="19" t="s">
        <v>229</v>
      </c>
      <c r="K20" s="19" t="s">
        <v>195</v>
      </c>
      <c r="L20" s="17" t="s">
        <v>196</v>
      </c>
    </row>
    <row r="21" spans="1:12" ht="48" customHeight="1" x14ac:dyDescent="0.2">
      <c r="A21" s="12" t="s">
        <v>189</v>
      </c>
      <c r="B21" s="13" t="s">
        <v>111</v>
      </c>
      <c r="C21" s="13" t="s">
        <v>230</v>
      </c>
      <c r="D21" s="13" t="s">
        <v>191</v>
      </c>
      <c r="E21" s="13" t="s">
        <v>192</v>
      </c>
      <c r="F21" s="14">
        <v>2499</v>
      </c>
      <c r="G21" s="15"/>
      <c r="H21" s="16" t="str">
        <f t="shared" si="0"/>
        <v/>
      </c>
      <c r="I21" s="13" t="s">
        <v>193</v>
      </c>
      <c r="J21" s="13" t="s">
        <v>229</v>
      </c>
      <c r="K21" s="13" t="s">
        <v>195</v>
      </c>
      <c r="L21" s="17" t="s">
        <v>196</v>
      </c>
    </row>
    <row r="22" spans="1:12" ht="48" customHeight="1" x14ac:dyDescent="0.2">
      <c r="A22" s="18" t="s">
        <v>189</v>
      </c>
      <c r="B22" s="19" t="s">
        <v>111</v>
      </c>
      <c r="C22" s="19" t="s">
        <v>231</v>
      </c>
      <c r="D22" s="19" t="s">
        <v>200</v>
      </c>
      <c r="E22" s="19" t="s">
        <v>201</v>
      </c>
      <c r="F22" s="14">
        <v>1999</v>
      </c>
      <c r="G22" s="15"/>
      <c r="H22" s="20" t="str">
        <f t="shared" si="0"/>
        <v/>
      </c>
      <c r="I22" s="19" t="s">
        <v>193</v>
      </c>
      <c r="J22" s="19" t="s">
        <v>229</v>
      </c>
      <c r="K22" s="19" t="s">
        <v>195</v>
      </c>
      <c r="L22" s="17" t="s">
        <v>196</v>
      </c>
    </row>
    <row r="23" spans="1:12" ht="48" customHeight="1" x14ac:dyDescent="0.2">
      <c r="A23" s="12" t="s">
        <v>189</v>
      </c>
      <c r="B23" s="13" t="s">
        <v>116</v>
      </c>
      <c r="C23" s="13" t="s">
        <v>232</v>
      </c>
      <c r="D23" s="13" t="s">
        <v>200</v>
      </c>
      <c r="E23" s="13" t="s">
        <v>201</v>
      </c>
      <c r="F23" s="14">
        <v>9999</v>
      </c>
      <c r="G23" s="15"/>
      <c r="H23" s="16" t="str">
        <f t="shared" si="0"/>
        <v/>
      </c>
      <c r="I23" s="13" t="s">
        <v>193</v>
      </c>
      <c r="J23" s="13" t="s">
        <v>233</v>
      </c>
      <c r="K23" s="13" t="s">
        <v>195</v>
      </c>
      <c r="L23" s="17" t="s">
        <v>196</v>
      </c>
    </row>
    <row r="24" spans="1:12" ht="48" customHeight="1" x14ac:dyDescent="0.2">
      <c r="A24" s="18" t="s">
        <v>189</v>
      </c>
      <c r="B24" s="19" t="s">
        <v>116</v>
      </c>
      <c r="C24" s="19" t="s">
        <v>234</v>
      </c>
      <c r="D24" s="19" t="s">
        <v>200</v>
      </c>
      <c r="E24" s="19" t="s">
        <v>235</v>
      </c>
      <c r="F24" s="14">
        <v>10999</v>
      </c>
      <c r="G24" s="15"/>
      <c r="H24" s="20" t="str">
        <f t="shared" si="0"/>
        <v/>
      </c>
      <c r="I24" s="19" t="s">
        <v>193</v>
      </c>
      <c r="J24" s="19" t="s">
        <v>233</v>
      </c>
      <c r="K24" s="19" t="s">
        <v>195</v>
      </c>
      <c r="L24" s="17" t="s">
        <v>196</v>
      </c>
    </row>
    <row r="25" spans="1:12" ht="48" customHeight="1" x14ac:dyDescent="0.2">
      <c r="A25" s="12" t="s">
        <v>189</v>
      </c>
      <c r="B25" s="13" t="s">
        <v>116</v>
      </c>
      <c r="C25" s="13" t="s">
        <v>236</v>
      </c>
      <c r="D25" s="13" t="s">
        <v>191</v>
      </c>
      <c r="E25" s="13" t="s">
        <v>205</v>
      </c>
      <c r="F25" s="14">
        <v>8999</v>
      </c>
      <c r="G25" s="15"/>
      <c r="H25" s="16" t="str">
        <f t="shared" si="0"/>
        <v/>
      </c>
      <c r="I25" s="13" t="s">
        <v>193</v>
      </c>
      <c r="J25" s="13" t="s">
        <v>233</v>
      </c>
      <c r="K25" s="13" t="s">
        <v>195</v>
      </c>
      <c r="L25" s="17" t="s">
        <v>196</v>
      </c>
    </row>
    <row r="26" spans="1:12" ht="48" customHeight="1" x14ac:dyDescent="0.2">
      <c r="A26" s="18" t="s">
        <v>189</v>
      </c>
      <c r="B26" s="19" t="s">
        <v>121</v>
      </c>
      <c r="C26" s="19" t="s">
        <v>237</v>
      </c>
      <c r="D26" s="19" t="s">
        <v>238</v>
      </c>
      <c r="E26" s="19" t="s">
        <v>239</v>
      </c>
      <c r="F26" s="14">
        <v>2499</v>
      </c>
      <c r="G26" s="15"/>
      <c r="H26" s="20" t="str">
        <f t="shared" si="0"/>
        <v/>
      </c>
      <c r="I26" s="19" t="s">
        <v>193</v>
      </c>
      <c r="J26" s="19" t="s">
        <v>240</v>
      </c>
      <c r="K26" s="19" t="s">
        <v>195</v>
      </c>
      <c r="L26" s="17" t="s">
        <v>196</v>
      </c>
    </row>
    <row r="27" spans="1:12" ht="48" customHeight="1" x14ac:dyDescent="0.2">
      <c r="A27" s="12" t="s">
        <v>189</v>
      </c>
      <c r="B27" s="13" t="s">
        <v>121</v>
      </c>
      <c r="C27" s="13" t="s">
        <v>241</v>
      </c>
      <c r="D27" s="13" t="s">
        <v>238</v>
      </c>
      <c r="E27" s="13" t="s">
        <v>242</v>
      </c>
      <c r="F27" s="14">
        <v>1799</v>
      </c>
      <c r="G27" s="15"/>
      <c r="H27" s="16" t="str">
        <f t="shared" si="0"/>
        <v/>
      </c>
      <c r="I27" s="13" t="s">
        <v>193</v>
      </c>
      <c r="J27" s="13" t="s">
        <v>240</v>
      </c>
      <c r="K27" s="13" t="s">
        <v>195</v>
      </c>
      <c r="L27" s="17" t="s">
        <v>196</v>
      </c>
    </row>
    <row r="28" spans="1:12" ht="48" customHeight="1" x14ac:dyDescent="0.2">
      <c r="A28" s="18" t="s">
        <v>189</v>
      </c>
      <c r="B28" s="19" t="s">
        <v>121</v>
      </c>
      <c r="C28" s="19" t="s">
        <v>243</v>
      </c>
      <c r="D28" s="19" t="s">
        <v>238</v>
      </c>
      <c r="E28" s="19" t="s">
        <v>244</v>
      </c>
      <c r="F28" s="14">
        <v>1499</v>
      </c>
      <c r="G28" s="15"/>
      <c r="H28" s="20" t="str">
        <f t="shared" si="0"/>
        <v/>
      </c>
      <c r="I28" s="19" t="s">
        <v>193</v>
      </c>
      <c r="J28" s="19" t="s">
        <v>240</v>
      </c>
      <c r="K28" s="19" t="s">
        <v>195</v>
      </c>
      <c r="L28" s="17" t="s">
        <v>196</v>
      </c>
    </row>
    <row r="29" spans="1:12" ht="48" customHeight="1" x14ac:dyDescent="0.2">
      <c r="A29" s="1"/>
      <c r="B29" s="2"/>
      <c r="C29" s="2"/>
      <c r="D29" s="2"/>
      <c r="E29" s="2"/>
      <c r="F29" s="3"/>
      <c r="G29" s="3"/>
      <c r="H29" s="21" t="str">
        <f t="shared" ref="H29:H34" si="1">IFERROR(1-G29/F29,"")</f>
        <v/>
      </c>
      <c r="I29" s="2"/>
      <c r="J29" s="2"/>
      <c r="K29" s="2"/>
    </row>
    <row r="30" spans="1:12" ht="48" customHeight="1" x14ac:dyDescent="0.2">
      <c r="A30" s="4"/>
      <c r="B30" s="5"/>
      <c r="C30" s="5"/>
      <c r="D30" s="5"/>
      <c r="E30" s="5"/>
      <c r="F30" s="6"/>
      <c r="G30" s="6"/>
      <c r="H30" s="22" t="str">
        <f t="shared" si="1"/>
        <v/>
      </c>
      <c r="I30" s="5"/>
      <c r="J30" s="5"/>
      <c r="K30" s="5"/>
    </row>
    <row r="31" spans="1:12" ht="48" customHeight="1" x14ac:dyDescent="0.2">
      <c r="A31" s="1"/>
      <c r="B31" s="2"/>
      <c r="C31" s="2"/>
      <c r="D31" s="2"/>
      <c r="E31" s="2"/>
      <c r="F31" s="3"/>
      <c r="G31" s="3"/>
      <c r="H31" s="21" t="str">
        <f t="shared" si="1"/>
        <v/>
      </c>
      <c r="I31" s="2"/>
      <c r="J31" s="2"/>
      <c r="K31" s="2"/>
    </row>
    <row r="32" spans="1:12" ht="48" customHeight="1" x14ac:dyDescent="0.2">
      <c r="A32" s="4"/>
      <c r="B32" s="5"/>
      <c r="C32" s="5"/>
      <c r="D32" s="5"/>
      <c r="E32" s="5"/>
      <c r="F32" s="6"/>
      <c r="G32" s="6"/>
      <c r="H32" s="22" t="str">
        <f t="shared" si="1"/>
        <v/>
      </c>
      <c r="I32" s="5"/>
      <c r="J32" s="5"/>
      <c r="K32" s="5"/>
    </row>
    <row r="33" spans="1:11" ht="48" customHeight="1" x14ac:dyDescent="0.2">
      <c r="A33" s="1"/>
      <c r="B33" s="2"/>
      <c r="C33" s="2"/>
      <c r="D33" s="2"/>
      <c r="E33" s="2"/>
      <c r="F33" s="3"/>
      <c r="G33" s="3"/>
      <c r="H33" s="21" t="str">
        <f t="shared" si="1"/>
        <v/>
      </c>
      <c r="I33" s="2"/>
      <c r="J33" s="2"/>
      <c r="K33" s="2"/>
    </row>
    <row r="34" spans="1:11" ht="48" customHeight="1" x14ac:dyDescent="0.2">
      <c r="A34" s="4"/>
      <c r="B34" s="5"/>
      <c r="C34" s="5"/>
      <c r="D34" s="5"/>
      <c r="E34" s="5"/>
      <c r="F34" s="6"/>
      <c r="G34" s="6"/>
      <c r="H34" s="22" t="str">
        <f t="shared" si="1"/>
        <v/>
      </c>
      <c r="I34" s="5"/>
      <c r="J34" s="5"/>
      <c r="K34" s="5"/>
    </row>
  </sheetData>
  <autoFilter ref="A4:L34" xr:uid="{00000000-0009-0000-0000-000003000000}"/>
  <mergeCells count="2">
    <mergeCell ref="A2:L2"/>
    <mergeCell ref="A1:L1"/>
  </mergeCells>
  <dataValidations count="1">
    <dataValidation type="list" allowBlank="1" sqref="B5:B34" xr:uid="{00000000-0002-0000-0300-000000000000}">
      <formula1>"Nike,adidas,Puma,Skechers,Decathlon,Campus Activewear,New Balance,BlissClub,Other"</formula1>
    </dataValidation>
  </dataValidations>
  <pageMargins left="0.25" right="0.25" top="1" bottom="1" header="0.5" footer="0.5"/>
  <pageSetup fitToHeight="0" orientation="portrait"/>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20"/>
  <sheetViews>
    <sheetView showGridLines="0" workbookViewId="0">
      <pane ySplit="4" topLeftCell="A5" activePane="bottomLeft" state="frozen"/>
      <selection pane="bottomLeft" sqref="A1:G1"/>
    </sheetView>
  </sheetViews>
  <sheetFormatPr baseColWidth="10" defaultColWidth="8.83203125" defaultRowHeight="15" x14ac:dyDescent="0.2"/>
  <cols>
    <col min="1" max="1" width="34" customWidth="1"/>
    <col min="2" max="2" width="19" customWidth="1"/>
    <col min="3" max="6" width="20" customWidth="1"/>
    <col min="7" max="7" width="82" customWidth="1"/>
  </cols>
  <sheetData>
    <row r="1" spans="1:7" ht="30" customHeight="1" x14ac:dyDescent="0.2">
      <c r="A1" s="31" t="s">
        <v>245</v>
      </c>
      <c r="B1" s="32"/>
      <c r="C1" s="32"/>
      <c r="D1" s="32"/>
      <c r="E1" s="32"/>
      <c r="F1" s="32"/>
      <c r="G1" s="32"/>
    </row>
    <row r="2" spans="1:7" ht="36" customHeight="1" x14ac:dyDescent="0.2">
      <c r="A2" s="34" t="s">
        <v>246</v>
      </c>
      <c r="B2" s="32"/>
      <c r="C2" s="32"/>
      <c r="D2" s="32"/>
      <c r="E2" s="32"/>
      <c r="F2" s="32"/>
      <c r="G2" s="32"/>
    </row>
    <row r="4" spans="1:7" ht="46" customHeight="1" x14ac:dyDescent="0.2">
      <c r="A4" s="7" t="s">
        <v>128</v>
      </c>
      <c r="B4" s="7" t="s">
        <v>247</v>
      </c>
      <c r="C4" s="7" t="s">
        <v>248</v>
      </c>
      <c r="D4" s="7" t="s">
        <v>249</v>
      </c>
      <c r="E4" s="7" t="s">
        <v>250</v>
      </c>
      <c r="F4" s="7" t="s">
        <v>251</v>
      </c>
      <c r="G4" s="7" t="s">
        <v>252</v>
      </c>
    </row>
    <row r="5" spans="1:7" ht="48" customHeight="1" x14ac:dyDescent="0.2">
      <c r="A5" s="11" t="s">
        <v>253</v>
      </c>
      <c r="B5" s="23">
        <v>0.2</v>
      </c>
      <c r="C5" s="24">
        <v>5</v>
      </c>
      <c r="D5" s="24">
        <v>5</v>
      </c>
      <c r="E5" s="24">
        <v>4</v>
      </c>
      <c r="F5" s="24">
        <v>3</v>
      </c>
      <c r="G5" s="11" t="s">
        <v>254</v>
      </c>
    </row>
    <row r="6" spans="1:7" ht="48" customHeight="1" x14ac:dyDescent="0.2">
      <c r="A6" s="10" t="s">
        <v>255</v>
      </c>
      <c r="B6" s="25">
        <v>0.2</v>
      </c>
      <c r="C6" s="26">
        <v>5</v>
      </c>
      <c r="D6" s="26">
        <v>5</v>
      </c>
      <c r="E6" s="26">
        <v>4</v>
      </c>
      <c r="F6" s="26">
        <v>3</v>
      </c>
      <c r="G6" s="10" t="s">
        <v>256</v>
      </c>
    </row>
    <row r="7" spans="1:7" ht="48" customHeight="1" x14ac:dyDescent="0.2">
      <c r="A7" s="11" t="s">
        <v>257</v>
      </c>
      <c r="B7" s="23">
        <v>0.15</v>
      </c>
      <c r="C7" s="24">
        <v>2</v>
      </c>
      <c r="D7" s="24">
        <v>3</v>
      </c>
      <c r="E7" s="24">
        <v>4</v>
      </c>
      <c r="F7" s="24">
        <v>5</v>
      </c>
      <c r="G7" s="11" t="s">
        <v>258</v>
      </c>
    </row>
    <row r="8" spans="1:7" ht="48" customHeight="1" x14ac:dyDescent="0.2">
      <c r="A8" s="10" t="s">
        <v>259</v>
      </c>
      <c r="B8" s="25">
        <v>0.15</v>
      </c>
      <c r="C8" s="26">
        <v>4</v>
      </c>
      <c r="D8" s="26">
        <v>4</v>
      </c>
      <c r="E8" s="26">
        <v>4</v>
      </c>
      <c r="F8" s="26">
        <v>3</v>
      </c>
      <c r="G8" s="10" t="s">
        <v>260</v>
      </c>
    </row>
    <row r="9" spans="1:7" ht="48" customHeight="1" x14ac:dyDescent="0.2">
      <c r="A9" s="11" t="s">
        <v>261</v>
      </c>
      <c r="B9" s="23">
        <v>0.15</v>
      </c>
      <c r="C9" s="24">
        <v>4</v>
      </c>
      <c r="D9" s="24">
        <v>4</v>
      </c>
      <c r="E9" s="24">
        <v>4</v>
      </c>
      <c r="F9" s="24">
        <v>5</v>
      </c>
      <c r="G9" s="11" t="s">
        <v>262</v>
      </c>
    </row>
    <row r="10" spans="1:7" ht="48" customHeight="1" x14ac:dyDescent="0.2">
      <c r="A10" s="10" t="s">
        <v>263</v>
      </c>
      <c r="B10" s="25">
        <v>0.15</v>
      </c>
      <c r="C10" s="26">
        <v>3</v>
      </c>
      <c r="D10" s="26">
        <v>3</v>
      </c>
      <c r="E10" s="26">
        <v>4</v>
      </c>
      <c r="F10" s="26">
        <v>5</v>
      </c>
      <c r="G10" s="10" t="s">
        <v>264</v>
      </c>
    </row>
    <row r="11" spans="1:7" ht="48" customHeight="1" x14ac:dyDescent="0.2">
      <c r="A11" s="11" t="s">
        <v>265</v>
      </c>
      <c r="B11" s="23">
        <v>0.05</v>
      </c>
      <c r="C11" s="5"/>
      <c r="D11" s="5"/>
      <c r="E11" s="5"/>
      <c r="F11" s="5"/>
      <c r="G11" s="11" t="s">
        <v>266</v>
      </c>
    </row>
    <row r="12" spans="1:7" ht="48" customHeight="1" x14ac:dyDescent="0.2"/>
    <row r="13" spans="1:7" ht="48" customHeight="1" x14ac:dyDescent="0.2">
      <c r="A13" s="35" t="s">
        <v>267</v>
      </c>
      <c r="B13" s="32"/>
      <c r="C13" s="32"/>
      <c r="D13" s="32"/>
      <c r="E13" s="32"/>
      <c r="F13" s="32"/>
      <c r="G13" s="32"/>
    </row>
    <row r="14" spans="1:7" ht="48" customHeight="1" x14ac:dyDescent="0.2">
      <c r="A14" s="27" t="s">
        <v>268</v>
      </c>
      <c r="B14" s="33" t="s">
        <v>269</v>
      </c>
      <c r="C14" s="32"/>
      <c r="D14" s="32"/>
      <c r="E14" s="32"/>
      <c r="F14" s="32"/>
      <c r="G14" s="32"/>
    </row>
    <row r="15" spans="1:7" ht="48" customHeight="1" x14ac:dyDescent="0.2">
      <c r="A15" s="27" t="s">
        <v>270</v>
      </c>
      <c r="B15" s="33" t="s">
        <v>271</v>
      </c>
      <c r="C15" s="32"/>
      <c r="D15" s="32"/>
      <c r="E15" s="32"/>
      <c r="F15" s="32"/>
      <c r="G15" s="32"/>
    </row>
    <row r="16" spans="1:7" ht="48" customHeight="1" x14ac:dyDescent="0.2">
      <c r="A16" s="27" t="s">
        <v>272</v>
      </c>
      <c r="B16" s="33" t="s">
        <v>273</v>
      </c>
      <c r="C16" s="32"/>
      <c r="D16" s="32"/>
      <c r="E16" s="32"/>
      <c r="F16" s="32"/>
      <c r="G16" s="32"/>
    </row>
    <row r="17" spans="1:7" ht="48" customHeight="1" x14ac:dyDescent="0.2">
      <c r="A17" s="27" t="s">
        <v>274</v>
      </c>
      <c r="B17" s="33" t="s">
        <v>275</v>
      </c>
      <c r="C17" s="32"/>
      <c r="D17" s="32"/>
      <c r="E17" s="32"/>
      <c r="F17" s="32"/>
      <c r="G17" s="32"/>
    </row>
    <row r="18" spans="1:7" ht="48" customHeight="1" x14ac:dyDescent="0.2">
      <c r="A18" s="27" t="s">
        <v>276</v>
      </c>
      <c r="B18" s="33" t="s">
        <v>277</v>
      </c>
      <c r="C18" s="32"/>
      <c r="D18" s="32"/>
      <c r="E18" s="32"/>
      <c r="F18" s="32"/>
      <c r="G18" s="32"/>
    </row>
    <row r="19" spans="1:7" ht="48" customHeight="1" x14ac:dyDescent="0.2">
      <c r="A19" s="27" t="s">
        <v>278</v>
      </c>
      <c r="B19" s="33" t="s">
        <v>279</v>
      </c>
      <c r="C19" s="32"/>
      <c r="D19" s="32"/>
      <c r="E19" s="32"/>
      <c r="F19" s="32"/>
      <c r="G19" s="32"/>
    </row>
    <row r="20" spans="1:7" ht="48" customHeight="1" x14ac:dyDescent="0.2">
      <c r="A20" s="27" t="s">
        <v>280</v>
      </c>
      <c r="B20" s="33" t="s">
        <v>281</v>
      </c>
      <c r="C20" s="32"/>
      <c r="D20" s="32"/>
      <c r="E20" s="32"/>
      <c r="F20" s="32"/>
      <c r="G20" s="32"/>
    </row>
  </sheetData>
  <autoFilter ref="A4:G10" xr:uid="{00000000-0009-0000-0000-000004000000}"/>
  <mergeCells count="10">
    <mergeCell ref="A13:G13"/>
    <mergeCell ref="B20:G20"/>
    <mergeCell ref="B19:G19"/>
    <mergeCell ref="B16:G16"/>
    <mergeCell ref="A1:G1"/>
    <mergeCell ref="B14:G14"/>
    <mergeCell ref="B17:G17"/>
    <mergeCell ref="A2:G2"/>
    <mergeCell ref="B18:G18"/>
    <mergeCell ref="B15:G15"/>
  </mergeCells>
  <dataValidations count="1">
    <dataValidation type="whole" allowBlank="1" prompt="Score only when evidence and rationale are available." sqref="C5:F11" xr:uid="{00000000-0002-0000-0400-000000000000}">
      <formula1>1</formula1>
      <formula2>5</formula2>
    </dataValidation>
  </dataValidations>
  <pageMargins left="0.25" right="0.25" top="1" bottom="1" header="0.5" footer="0.5"/>
  <pageSetup fitToHeight="0"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D23"/>
  <sheetViews>
    <sheetView showGridLines="0" workbookViewId="0">
      <pane ySplit="4" topLeftCell="A5" activePane="bottomLeft" state="frozen"/>
      <selection pane="bottomLeft" activeCell="A14" sqref="A14:D14"/>
    </sheetView>
  </sheetViews>
  <sheetFormatPr baseColWidth="10" defaultColWidth="8.83203125" defaultRowHeight="15" x14ac:dyDescent="0.2"/>
  <cols>
    <col min="1" max="1" width="44" customWidth="1"/>
    <col min="2" max="2" width="54" customWidth="1"/>
    <col min="3" max="3" width="72" customWidth="1"/>
    <col min="4" max="4" width="70" customWidth="1"/>
  </cols>
  <sheetData>
    <row r="1" spans="1:4" ht="30" customHeight="1" x14ac:dyDescent="0.2">
      <c r="A1" s="31" t="s">
        <v>0</v>
      </c>
      <c r="B1" s="32"/>
      <c r="C1" s="32"/>
      <c r="D1" s="32"/>
    </row>
    <row r="2" spans="1:4" ht="36" customHeight="1" x14ac:dyDescent="0.2">
      <c r="A2" s="34" t="s">
        <v>1</v>
      </c>
      <c r="B2" s="32"/>
      <c r="C2" s="32"/>
      <c r="D2" s="32"/>
    </row>
    <row r="4" spans="1:4" ht="46" customHeight="1" x14ac:dyDescent="0.2">
      <c r="A4" s="7" t="s">
        <v>2</v>
      </c>
      <c r="B4" s="7" t="s">
        <v>3</v>
      </c>
      <c r="C4" s="7" t="s">
        <v>4</v>
      </c>
      <c r="D4" s="7" t="s">
        <v>5</v>
      </c>
    </row>
    <row r="5" spans="1:4" ht="48" customHeight="1" x14ac:dyDescent="0.2">
      <c r="A5" s="10" t="s">
        <v>6</v>
      </c>
      <c r="B5" s="10" t="s">
        <v>7</v>
      </c>
      <c r="C5" s="10" t="s">
        <v>8</v>
      </c>
      <c r="D5" s="10" t="s">
        <v>9</v>
      </c>
    </row>
    <row r="6" spans="1:4" ht="48" customHeight="1" x14ac:dyDescent="0.2">
      <c r="A6" s="11" t="s">
        <v>10</v>
      </c>
      <c r="B6" s="11" t="s">
        <v>11</v>
      </c>
      <c r="C6" s="11" t="s">
        <v>12</v>
      </c>
      <c r="D6" s="11" t="s">
        <v>13</v>
      </c>
    </row>
    <row r="7" spans="1:4" ht="48" customHeight="1" x14ac:dyDescent="0.2">
      <c r="A7" s="10" t="s">
        <v>14</v>
      </c>
      <c r="B7" s="10" t="s">
        <v>15</v>
      </c>
      <c r="C7" s="10" t="s">
        <v>16</v>
      </c>
      <c r="D7" s="10" t="s">
        <v>17</v>
      </c>
    </row>
    <row r="8" spans="1:4" ht="48" customHeight="1" x14ac:dyDescent="0.2">
      <c r="A8" s="11" t="s">
        <v>18</v>
      </c>
      <c r="B8" s="11" t="s">
        <v>19</v>
      </c>
      <c r="C8" s="11" t="s">
        <v>20</v>
      </c>
      <c r="D8" s="11" t="s">
        <v>21</v>
      </c>
    </row>
    <row r="9" spans="1:4" ht="48" customHeight="1" x14ac:dyDescent="0.2">
      <c r="A9" s="9" t="s">
        <v>22</v>
      </c>
      <c r="B9" s="9" t="s">
        <v>23</v>
      </c>
      <c r="C9" s="9" t="s">
        <v>24</v>
      </c>
      <c r="D9" s="9" t="s">
        <v>25</v>
      </c>
    </row>
    <row r="10" spans="1:4" ht="48" customHeight="1" x14ac:dyDescent="0.2">
      <c r="A10" s="35" t="s">
        <v>26</v>
      </c>
      <c r="B10" s="32"/>
      <c r="C10" s="32"/>
      <c r="D10" s="32"/>
    </row>
    <row r="11" spans="1:4" ht="48" customHeight="1" x14ac:dyDescent="0.2">
      <c r="A11" s="33" t="s">
        <v>27</v>
      </c>
      <c r="B11" s="32"/>
      <c r="C11" s="32"/>
      <c r="D11" s="32"/>
    </row>
    <row r="12" spans="1:4" ht="48" customHeight="1" x14ac:dyDescent="0.2">
      <c r="A12" s="33" t="s">
        <v>28</v>
      </c>
      <c r="B12" s="32"/>
      <c r="C12" s="32"/>
      <c r="D12" s="32"/>
    </row>
    <row r="13" spans="1:4" ht="48" customHeight="1" x14ac:dyDescent="0.2">
      <c r="A13" s="33" t="s">
        <v>29</v>
      </c>
      <c r="B13" s="32"/>
      <c r="C13" s="32"/>
      <c r="D13" s="32"/>
    </row>
    <row r="14" spans="1:4" ht="48" customHeight="1" x14ac:dyDescent="0.2">
      <c r="A14" s="33" t="s">
        <v>30</v>
      </c>
      <c r="B14" s="32"/>
      <c r="C14" s="32"/>
      <c r="D14" s="32"/>
    </row>
    <row r="15" spans="1:4" ht="48" customHeight="1" x14ac:dyDescent="0.2">
      <c r="A15" s="33" t="s">
        <v>31</v>
      </c>
      <c r="B15" s="32"/>
      <c r="C15" s="32"/>
      <c r="D15" s="32"/>
    </row>
    <row r="16" spans="1:4" ht="48" customHeight="1" x14ac:dyDescent="0.2">
      <c r="A16" s="28" t="s">
        <v>32</v>
      </c>
      <c r="B16" s="28" t="s">
        <v>33</v>
      </c>
      <c r="C16" s="28" t="s">
        <v>34</v>
      </c>
      <c r="D16" s="28" t="s">
        <v>35</v>
      </c>
    </row>
    <row r="17" spans="1:4" ht="48" customHeight="1" x14ac:dyDescent="0.2">
      <c r="A17" s="29" t="s">
        <v>36</v>
      </c>
      <c r="B17" s="29" t="s">
        <v>37</v>
      </c>
      <c r="C17" s="29" t="s">
        <v>38</v>
      </c>
      <c r="D17" s="29" t="s">
        <v>39</v>
      </c>
    </row>
    <row r="18" spans="1:4" ht="48" customHeight="1" x14ac:dyDescent="0.2">
      <c r="A18" s="29" t="s">
        <v>40</v>
      </c>
      <c r="B18" s="29" t="s">
        <v>41</v>
      </c>
      <c r="C18" s="29" t="s">
        <v>42</v>
      </c>
      <c r="D18" s="29" t="s">
        <v>39</v>
      </c>
    </row>
    <row r="19" spans="1:4" ht="48" customHeight="1" x14ac:dyDescent="0.2">
      <c r="A19" s="29" t="s">
        <v>43</v>
      </c>
      <c r="B19" s="29" t="s">
        <v>44</v>
      </c>
      <c r="C19" s="29" t="s">
        <v>45</v>
      </c>
      <c r="D19" s="29" t="s">
        <v>39</v>
      </c>
    </row>
    <row r="20" spans="1:4" ht="48" customHeight="1" x14ac:dyDescent="0.2">
      <c r="A20" s="29" t="s">
        <v>46</v>
      </c>
      <c r="B20" s="29" t="s">
        <v>47</v>
      </c>
      <c r="C20" s="29" t="s">
        <v>48</v>
      </c>
      <c r="D20" s="29" t="s">
        <v>39</v>
      </c>
    </row>
    <row r="21" spans="1:4" ht="48" customHeight="1" x14ac:dyDescent="0.2">
      <c r="A21" s="29" t="s">
        <v>49</v>
      </c>
      <c r="B21" s="29" t="s">
        <v>50</v>
      </c>
      <c r="C21" s="29" t="s">
        <v>51</v>
      </c>
      <c r="D21" s="29" t="s">
        <v>39</v>
      </c>
    </row>
    <row r="22" spans="1:4" ht="48" customHeight="1" x14ac:dyDescent="0.2">
      <c r="A22" s="29" t="s">
        <v>52</v>
      </c>
      <c r="B22" s="29" t="s">
        <v>53</v>
      </c>
      <c r="C22" s="29" t="s">
        <v>54</v>
      </c>
      <c r="D22" s="29" t="s">
        <v>39</v>
      </c>
    </row>
    <row r="23" spans="1:4" ht="48" customHeight="1" x14ac:dyDescent="0.2">
      <c r="A23" s="30" t="s">
        <v>55</v>
      </c>
      <c r="B23" s="30" t="s">
        <v>56</v>
      </c>
      <c r="C23" s="30" t="s">
        <v>57</v>
      </c>
      <c r="D23" s="30" t="s">
        <v>58</v>
      </c>
    </row>
  </sheetData>
  <autoFilter ref="A3:D23" xr:uid="{00000000-0009-0000-0000-000005000000}"/>
  <mergeCells count="8">
    <mergeCell ref="A1:D1"/>
    <mergeCell ref="A12:D12"/>
    <mergeCell ref="A15:D15"/>
    <mergeCell ref="A2:D2"/>
    <mergeCell ref="A11:D11"/>
    <mergeCell ref="A10:D10"/>
    <mergeCell ref="A13:D13"/>
    <mergeCell ref="A14:D14"/>
  </mergeCells>
  <pageMargins left="0.25" right="0.25" top="1" bottom="1" header="0.5" footer="0.5"/>
  <pageSetup fitToHeight="0"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Read Me</vt:lpstr>
      <vt:lpstr>Brand Overview</vt:lpstr>
      <vt:lpstr>Comparison Matrix</vt:lpstr>
      <vt:lpstr>SKU Audit</vt:lpstr>
      <vt:lpstr>Scorecard</vt:lpstr>
      <vt:lpstr>Sources &amp; Limits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Tushar Verma (BDA 25-27)</cp:lastModifiedBy>
  <dcterms:created xsi:type="dcterms:W3CDTF">2026-09-30T12:14:37Z</dcterms:created>
  <dcterms:modified xsi:type="dcterms:W3CDTF">2026-10-01T12:12:38Z</dcterms:modified>
</cp:coreProperties>
</file>