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tusharverma/Downloads/Nike Case Study/"/>
    </mc:Choice>
  </mc:AlternateContent>
  <xr:revisionPtr revIDLastSave="0" documentId="8_{EC45FD65-3520-CF4E-B82B-17B98CDCF8CF}" xr6:coauthVersionLast="47" xr6:coauthVersionMax="47" xr10:uidLastSave="{00000000-0000-0000-0000-000000000000}"/>
  <bookViews>
    <workbookView xWindow="0" yWindow="500" windowWidth="28800" windowHeight="16440" activeTab="1" xr2:uid="{00000000-000D-0000-FFFF-FFFF00000000}"/>
  </bookViews>
  <sheets>
    <sheet name="Read Me" sheetId="1" r:id="rId1"/>
    <sheet name="Inputs" sheetId="2" r:id="rId2"/>
    <sheet name="Scenario Analysis" sheetId="3" r:id="rId3"/>
    <sheet name="12-Month Model" sheetId="4" r:id="rId4"/>
    <sheet name="Sensitivity" sheetId="5" r:id="rId5"/>
    <sheet name="Dashboard" sheetId="6" r:id="rId6"/>
  </sheets>
  <definedNames>
    <definedName name="_xlnm._FilterDatabase" localSheetId="2" hidden="1">'Scenario Analysis'!$A$3:$G$19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17" i="4"/>
  <c r="B19" i="4" s="1"/>
  <c r="D19" i="3"/>
  <c r="C19" i="3"/>
  <c r="G19" i="3" s="1"/>
  <c r="B14" i="6" s="1"/>
  <c r="B19" i="3"/>
  <c r="D18" i="3"/>
  <c r="C18" i="3"/>
  <c r="G18" i="3" s="1"/>
  <c r="B13" i="6" s="1"/>
  <c r="B18" i="3"/>
  <c r="D17" i="3"/>
  <c r="C17" i="3"/>
  <c r="G17" i="3" s="1"/>
  <c r="B12" i="6" s="1"/>
  <c r="B17" i="3"/>
  <c r="D16" i="3"/>
  <c r="C16" i="3"/>
  <c r="G16" i="3" s="1"/>
  <c r="B16" i="3"/>
  <c r="D15" i="3"/>
  <c r="D22" i="3" s="1"/>
  <c r="C15" i="3"/>
  <c r="B15" i="3"/>
  <c r="B22" i="3" s="1"/>
  <c r="D14" i="3"/>
  <c r="C14" i="3"/>
  <c r="G14" i="3" s="1"/>
  <c r="B10" i="6" s="1"/>
  <c r="B14" i="3"/>
  <c r="D13" i="3"/>
  <c r="C13" i="3"/>
  <c r="G13" i="3" s="1"/>
  <c r="B9" i="6" s="1"/>
  <c r="B13" i="3"/>
  <c r="D12" i="3"/>
  <c r="C12" i="3"/>
  <c r="G12" i="3" s="1"/>
  <c r="B12" i="3"/>
  <c r="D11" i="3"/>
  <c r="C11" i="3"/>
  <c r="G11" i="3" s="1"/>
  <c r="B11" i="3"/>
  <c r="D10" i="3"/>
  <c r="C10" i="3"/>
  <c r="G10" i="3" s="1"/>
  <c r="B8" i="6" s="1"/>
  <c r="B10" i="3"/>
  <c r="D9" i="3"/>
  <c r="C9" i="3"/>
  <c r="G9" i="3" s="1"/>
  <c r="B7" i="6" s="1"/>
  <c r="B9" i="3"/>
  <c r="D8" i="3"/>
  <c r="C8" i="3"/>
  <c r="G8" i="3" s="1"/>
  <c r="B8" i="3"/>
  <c r="G7" i="3"/>
  <c r="B6" i="6" s="1"/>
  <c r="D7" i="3"/>
  <c r="C7" i="3"/>
  <c r="B7" i="3"/>
  <c r="D6" i="3"/>
  <c r="C6" i="3"/>
  <c r="G6" i="3" s="1"/>
  <c r="B6" i="3"/>
  <c r="D5" i="3"/>
  <c r="C5" i="3"/>
  <c r="G5" i="3" s="1"/>
  <c r="B5" i="3"/>
  <c r="D4" i="3"/>
  <c r="C4" i="3"/>
  <c r="G4" i="3" s="1"/>
  <c r="B5" i="6" s="1"/>
  <c r="B4" i="3"/>
  <c r="F14" i="2"/>
  <c r="F13" i="2"/>
  <c r="F12" i="2"/>
  <c r="F11" i="2"/>
  <c r="F17" i="2" s="1"/>
  <c r="F10" i="2"/>
  <c r="F9" i="2"/>
  <c r="F8" i="2"/>
  <c r="F7" i="2"/>
  <c r="F6" i="2"/>
  <c r="C22" i="3" l="1"/>
  <c r="G15" i="3"/>
  <c r="B11" i="6" s="1"/>
  <c r="G6" i="5"/>
  <c r="E10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D7" i="5"/>
  <c r="G7" i="5"/>
  <c r="F7" i="5"/>
  <c r="E7" i="5"/>
  <c r="B10" i="5"/>
  <c r="C7" i="5"/>
  <c r="B7" i="5"/>
  <c r="H6" i="5"/>
  <c r="C10" i="5"/>
  <c r="F6" i="5"/>
  <c r="E6" i="5"/>
  <c r="D6" i="5"/>
  <c r="C6" i="5"/>
  <c r="B6" i="5"/>
  <c r="H5" i="5"/>
  <c r="G5" i="5"/>
  <c r="F5" i="5"/>
  <c r="E5" i="5"/>
  <c r="D5" i="5"/>
  <c r="C5" i="5"/>
  <c r="B5" i="5"/>
  <c r="D10" i="5"/>
  <c r="H10" i="5"/>
  <c r="G10" i="5"/>
  <c r="F10" i="5"/>
  <c r="H9" i="5"/>
  <c r="C12" i="4"/>
  <c r="D12" i="4" s="1"/>
  <c r="E12" i="4" s="1"/>
  <c r="F12" i="4" s="1"/>
  <c r="C13" i="4"/>
  <c r="D13" i="4" s="1"/>
  <c r="E13" i="4" s="1"/>
  <c r="F13" i="4" s="1"/>
  <c r="C11" i="4"/>
  <c r="D11" i="4" s="1"/>
  <c r="E11" i="4" s="1"/>
  <c r="F11" i="4" s="1"/>
  <c r="C10" i="4"/>
  <c r="D10" i="4" s="1"/>
  <c r="E10" i="4" s="1"/>
  <c r="F10" i="4" s="1"/>
  <c r="C9" i="4"/>
  <c r="D9" i="4" s="1"/>
  <c r="E9" i="4" s="1"/>
  <c r="F9" i="4" s="1"/>
  <c r="C8" i="4"/>
  <c r="D8" i="4" s="1"/>
  <c r="E8" i="4" s="1"/>
  <c r="F8" i="4" s="1"/>
  <c r="C7" i="4"/>
  <c r="D7" i="4" s="1"/>
  <c r="E7" i="4" s="1"/>
  <c r="F7" i="4" s="1"/>
  <c r="C6" i="4"/>
  <c r="D6" i="4" s="1"/>
  <c r="E6" i="4" s="1"/>
  <c r="F6" i="4" s="1"/>
  <c r="C5" i="4"/>
  <c r="C14" i="4"/>
  <c r="D14" i="4" s="1"/>
  <c r="E14" i="4" s="1"/>
  <c r="F14" i="4" s="1"/>
  <c r="C15" i="4"/>
  <c r="D15" i="4" s="1"/>
  <c r="E15" i="4" s="1"/>
  <c r="F15" i="4" s="1"/>
  <c r="C16" i="4"/>
  <c r="D16" i="4" s="1"/>
  <c r="E16" i="4" s="1"/>
  <c r="F16" i="4" s="1"/>
  <c r="F18" i="2"/>
  <c r="F19" i="2" s="1"/>
  <c r="F20" i="2" s="1"/>
  <c r="F21" i="2" s="1"/>
  <c r="F22" i="2" s="1"/>
  <c r="G12" i="4" l="1"/>
  <c r="H12" i="4" s="1"/>
  <c r="I12" i="4" s="1"/>
  <c r="G13" i="4"/>
  <c r="H13" i="4"/>
  <c r="I13" i="4" s="1"/>
  <c r="G11" i="4"/>
  <c r="H11" i="4"/>
  <c r="I11" i="4" s="1"/>
  <c r="G10" i="4"/>
  <c r="H10" i="4"/>
  <c r="I10" i="4" s="1"/>
  <c r="G9" i="4"/>
  <c r="H9" i="4" s="1"/>
  <c r="I9" i="4" s="1"/>
  <c r="G8" i="4"/>
  <c r="H8" i="4"/>
  <c r="I8" i="4" s="1"/>
  <c r="G7" i="4"/>
  <c r="H7" i="4" s="1"/>
  <c r="I7" i="4" s="1"/>
  <c r="G6" i="4"/>
  <c r="H6" i="4"/>
  <c r="I6" i="4" s="1"/>
  <c r="D5" i="4"/>
  <c r="C17" i="4"/>
  <c r="G14" i="4"/>
  <c r="H14" i="4" s="1"/>
  <c r="I14" i="4" s="1"/>
  <c r="G15" i="4"/>
  <c r="H15" i="4" s="1"/>
  <c r="I15" i="4" s="1"/>
  <c r="G16" i="4"/>
  <c r="H16" i="4"/>
  <c r="I16" i="4" s="1"/>
  <c r="E5" i="4" l="1"/>
  <c r="D17" i="4"/>
  <c r="F5" i="4" l="1"/>
  <c r="E17" i="4"/>
  <c r="G5" i="4" l="1"/>
  <c r="F17" i="4"/>
  <c r="G17" i="4" l="1"/>
  <c r="H5" i="4"/>
  <c r="H17" i="4" l="1"/>
  <c r="I5" i="4"/>
  <c r="I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Select Downside, Base, or Upside. Outputs across the workbook update through linked formulas in Excel.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C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D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B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C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D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B8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C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D8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B9" authorId="0" shapeId="0" xr:uid="{00000000-0006-0000-0100-00000B000000}">
      <text>
        <r>
          <rPr>
            <sz val="11"/>
            <color rgb="FF000000"/>
            <rFont val="Calibri"/>
            <family val="2"/>
          </rPr>
          <t>Illustrative assumption for scenario planning. Replace only if you have a defensible source or clearly stated case assumption.</t>
        </r>
      </text>
    </comment>
    <comment ref="C9" authorId="0" shapeId="0" xr:uid="{00000000-0006-0000-0100-00000C000000}">
      <text>
        <r>
          <rPr>
            <sz val="11"/>
            <color rgb="FF000000"/>
            <rFont val="Calibri"/>
            <family val="2"/>
          </rPr>
          <t>Illustrative assumption for scenario planning. Replace only if you have a defensible source or clearly stated case assumption.</t>
        </r>
      </text>
    </comment>
    <comment ref="D9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B10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C10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D10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B1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C1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D1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B1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C1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D1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B13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C13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D13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B1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C1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  <comment ref="D1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Illustrative assumption for scenario planning. Replace only if you have a defensible source or clearly stated case assumption.</t>
        </r>
      </text>
    </comment>
  </commentList>
</comments>
</file>

<file path=xl/sharedStrings.xml><?xml version="1.0" encoding="utf-8"?>
<sst xmlns="http://schemas.openxmlformats.org/spreadsheetml/2006/main" count="172" uniqueCount="124">
  <si>
    <t>NIKE | GEN Z INDIA — FINANCIAL MODEL</t>
  </si>
  <si>
    <t>Purpose</t>
  </si>
  <si>
    <t>Illustrative financial case model to assess a proposed Gen Z market-expansion campaign in India. Independent student portfolio case; not commissioned by or affiliated with Nike.</t>
  </si>
  <si>
    <t>How to use</t>
  </si>
  <si>
    <t>Open the Inputs sheet and choose Downside, Base or Upside from the scenario dropdown in cell B3.</t>
  </si>
  <si>
    <t>Edit the yellow input cells only to change reach, funnel rates, order value, margins and campaign investment.</t>
  </si>
  <si>
    <t>Review Scenario Analysis to compare the three cases and Dashboard for the selected scenario.</t>
  </si>
  <si>
    <t>Use 12-Month Model to review how reach, orders, revenue and contribution are phased over the year.</t>
  </si>
  <si>
    <t>Use Sensitivity to test how changes in reach and purchase conversion affect net contribution after campaign spend.</t>
  </si>
  <si>
    <t>Model logic</t>
  </si>
  <si>
    <t>Reach × engagement rate = engaged audience; engaged audience × visit rate = site visits; site visits × purchase conversion = first orders. Revenue = orders × average order value. Contribution = revenue × contribution margin. Net contribution after campaign = contribution − campaign investment.</t>
  </si>
  <si>
    <t>Important interpretation</t>
  </si>
  <si>
    <t>All values are illustrative planning assumptions, not Nike actuals, forecasts, validated market data, or promised results. The model estimates campaign-attributed incremental orders for scenario planning; it does not prove incrementality or account for all corporate overhead, taxes, working capital, cannibalization, or long-term brand effects.</t>
  </si>
  <si>
    <t>Contribution margin</t>
  </si>
  <si>
    <t>Gross margin less incremental variable costs (e.g., payment, fulfilment, returns/service allowances). Contribution is not net profit or EBITDA.</t>
  </si>
  <si>
    <t>Break-even</t>
  </si>
  <si>
    <t>Break-even orders = campaign investment ÷ contribution per order. This is the order volume required to recover campaign investment on a contribution basis.</t>
  </si>
  <si>
    <t>Currency / period</t>
  </si>
  <si>
    <t>Indian rupees (INR); annual scenario view with a 12-month phasing schedule.</t>
  </si>
  <si>
    <t>Portfolio disclosure</t>
  </si>
  <si>
    <t>This is a hypothetical consulting case study using public market context and transparent assumptions. No Nike internal data was accessed.</t>
  </si>
  <si>
    <t>INPUTS &amp; ASSUMPTIONS</t>
  </si>
  <si>
    <t>Selected scenario</t>
  </si>
  <si>
    <t>Base</t>
  </si>
  <si>
    <t>Change this dropdown to switch all linked outputs.</t>
  </si>
  <si>
    <t>Driver</t>
  </si>
  <si>
    <t>Downside</t>
  </si>
  <si>
    <t>Upside</t>
  </si>
  <si>
    <t>Rationale / definition</t>
  </si>
  <si>
    <t>Selected</t>
  </si>
  <si>
    <t>Campaign reach</t>
  </si>
  <si>
    <t>Unique people reached by campaign; illustrative audience reach.</t>
  </si>
  <si>
    <t>Engagement rate</t>
  </si>
  <si>
    <t>Share of reached audience that meaningfully engages.</t>
  </si>
  <si>
    <t>Visit rate from engaged</t>
  </si>
  <si>
    <t>Share of engaged audience that visits a product/site destination.</t>
  </si>
  <si>
    <t>Purchase conversion</t>
  </si>
  <si>
    <t>Share of site visits converting to an order.</t>
  </si>
  <si>
    <t>Average order value (INR)</t>
  </si>
  <si>
    <t>Average revenue per campaign-attributed order.</t>
  </si>
  <si>
    <t>Gross margin</t>
  </si>
  <si>
    <t>Illustrative gross margin on campaign-attributed sales.</t>
  </si>
  <si>
    <t>Incremental variable costs</t>
  </si>
  <si>
    <t>Payment, fulfilment, return/service and other incremental variable costs as % revenue.</t>
  </si>
  <si>
    <t>Campaign investment (INR)</t>
  </si>
  <si>
    <t>Fixed campaign budget assumption: ₹1 crore.</t>
  </si>
  <si>
    <t>Repeat purchase rate (within model period)</t>
  </si>
  <si>
    <t>Share of first-order customers assumed to place one additional order in period.</t>
  </si>
  <si>
    <t>Selected value</t>
  </si>
  <si>
    <t>Formula-linked scenario input</t>
  </si>
  <si>
    <t>First orders</t>
  </si>
  <si>
    <t>Total orders incl. repeat</t>
  </si>
  <si>
    <t>Revenue</t>
  </si>
  <si>
    <t>Contribution</t>
  </si>
  <si>
    <t>Net contribution after campaign</t>
  </si>
  <si>
    <t>SCENARIO ANALYSIS</t>
  </si>
  <si>
    <t>Metric</t>
  </si>
  <si>
    <t>Unit</t>
  </si>
  <si>
    <t>Formula / interpretation</t>
  </si>
  <si>
    <t>Selected case</t>
  </si>
  <si>
    <t>Reach</t>
  </si>
  <si>
    <t>people</t>
  </si>
  <si>
    <t>Engaged audience</t>
  </si>
  <si>
    <t>Reach × engagement rate</t>
  </si>
  <si>
    <t>Site visits</t>
  </si>
  <si>
    <t>visits</t>
  </si>
  <si>
    <t>Engaged audience × visit rate</t>
  </si>
  <si>
    <t>orders</t>
  </si>
  <si>
    <t>Site visits × purchase conversion</t>
  </si>
  <si>
    <t>Repeat orders</t>
  </si>
  <si>
    <t>First orders × repeat purchase rate</t>
  </si>
  <si>
    <t>Total orders</t>
  </si>
  <si>
    <t>First orders + repeat orders</t>
  </si>
  <si>
    <t>INR</t>
  </si>
  <si>
    <t>Total orders × average order value</t>
  </si>
  <si>
    <t>Gross profit</t>
  </si>
  <si>
    <t>Revenue × gross margin</t>
  </si>
  <si>
    <t>Variable costs</t>
  </si>
  <si>
    <t>Revenue × incremental variable costs</t>
  </si>
  <si>
    <t>Gross profit − variable costs</t>
  </si>
  <si>
    <t>Campaign investment</t>
  </si>
  <si>
    <t>Fixed campaign budget</t>
  </si>
  <si>
    <t>Contribution − campaign investment</t>
  </si>
  <si>
    <t>Contribution per order</t>
  </si>
  <si>
    <t>INR/order</t>
  </si>
  <si>
    <t>Contribution ÷ total orders</t>
  </si>
  <si>
    <t>Break-even orders</t>
  </si>
  <si>
    <t>Campaign investment ÷ contribution per order</t>
  </si>
  <si>
    <t>Campaign cost per first order</t>
  </si>
  <si>
    <t>Campaign investment ÷ first orders</t>
  </si>
  <si>
    <t>Contribution return on campaign spend</t>
  </si>
  <si>
    <t>x</t>
  </si>
  <si>
    <t>Contribution ÷ campaign investment</t>
  </si>
  <si>
    <t>Scenario</t>
  </si>
  <si>
    <t>Net contribution</t>
  </si>
  <si>
    <t>12-MONTH CAMPAIGN PHASING</t>
  </si>
  <si>
    <t>Selected scenario is linked from Inputs. Monthly phasing weights are editable; default weights sum to 100%.</t>
  </si>
  <si>
    <t>Month</t>
  </si>
  <si>
    <t>Phasing weight</t>
  </si>
  <si>
    <t>Engaged</t>
  </si>
  <si>
    <t>Visits</t>
  </si>
  <si>
    <t>Contribution after campaign spend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</si>
  <si>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</si>
  <si>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</si>
  <si>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</si>
  <si>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</si>
  <si>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</si>
  <si>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</si>
  <si>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</si>
  <si>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</si>
  <si>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</si>
  <si>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</si>
  <si>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</si>
  <si>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</si>
  <si>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</t>
  </si>
  <si>
    <t>Phasing check</t>
  </si>
  <si>
    <t>SENSITIVITY — NET CONTRIBUTION AFTER CAMPAIGN</t>
  </si>
  <si>
    <t>Illustrative sensitivity using selected engagement, visit rate, AOV, contribution margin, repeat rate and investment; vary reach and purchase conversion.</t>
  </si>
  <si>
    <t>Reach \ Conversion</t>
  </si>
  <si>
    <t>Interpretation</t>
  </si>
  <si>
    <t>Cells show contribution after campaign investment, not net profit. Negative values mean campaign-attributed contribution does not recover the campaign budget under that combination.</t>
  </si>
  <si>
    <t>NIKE GEN Z INDIA — FINANCIAL DASHBOARD</t>
  </si>
  <si>
    <t>Decision lens</t>
  </si>
  <si>
    <t>Use this model to test assumptions and identify the conditions needed to recover campaign investment. A positive contribution result is not the same as net profit or proof of causal impact.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</si>
</sst>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₹&quot;#,##0;[Red]\(&quot;₹&quot;#,##0\);\-"/>
    <numFmt numFmtId="166" formatCode="0.00\x"/>
    <numFmt numFmtId="167" formatCode="&quot;₹&quot;#,##0.0,,&quot; L&quot;;[Red]\(&quot;₹&quot;#,##0.0,,&quot; L&quot;\);\-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1F4E78"/>
      <name val="Calibri"/>
      <family val="2"/>
    </font>
    <font>
      <b/>
      <sz val="12"/>
      <color rgb="FF1F4E78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hair">
        <color rgb="FFE7E6E6"/>
      </bottom>
      <diagonal/>
    </border>
    <border>
      <left/>
      <right/>
      <top/>
      <bottom style="hair">
        <color rgb="FFE7E6E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3" fontId="0" fillId="4" borderId="1" xfId="0" applyNumberForma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4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6" borderId="1" xfId="0" applyNumberFormat="1" applyFill="1" applyBorder="1" applyAlignment="1">
      <alignment vertical="center" wrapText="1"/>
    </xf>
    <xf numFmtId="3" fontId="0" fillId="6" borderId="1" xfId="0" applyNumberFormat="1" applyFill="1" applyBorder="1" applyAlignment="1">
      <alignment vertical="center" wrapText="1"/>
    </xf>
    <xf numFmtId="165" fontId="0" fillId="6" borderId="1" xfId="0" applyNumberFormat="1" applyFill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6" fontId="0" fillId="6" borderId="1" xfId="0" applyNumberForma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3" fontId="6" fillId="6" borderId="1" xfId="0" applyNumberFormat="1" applyFont="1" applyFill="1" applyBorder="1" applyAlignment="1">
      <alignment vertical="center" wrapText="1"/>
    </xf>
    <xf numFmtId="165" fontId="6" fillId="6" borderId="1" xfId="0" applyNumberFormat="1" applyFont="1" applyFill="1" applyBorder="1" applyAlignment="1">
      <alignment vertical="center" wrapText="1"/>
    </xf>
    <xf numFmtId="166" fontId="6" fillId="6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Net Contribution After Campaign by Scenario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'Scenario Analysis'!$B$21:$D$21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'Scenario Analysis'!$B$22:$D$22</c:f>
              <c:numCache>
                <c:formatCode>General</c:formatCode>
                <c:ptCount val="3"/>
                <c:pt idx="0">
                  <c:v>-9223840</c:v>
                </c:pt>
                <c:pt idx="1">
                  <c:v>-2998719.9999999991</c:v>
                </c:pt>
                <c:pt idx="2">
                  <c:v>11680662.499999996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E-6045-A75E-98B9866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Scenario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showGridLines="0" zoomScale="90" workbookViewId="0">
      <pane ySplit="2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25" customWidth="1"/>
    <col min="2" max="2" width="32" customWidth="1"/>
    <col min="3" max="6" width="20" customWidth="1"/>
  </cols>
  <sheetData>
    <row r="1" spans="1:6" ht="30" customHeight="1" x14ac:dyDescent="0.2">
      <c r="A1" s="30" t="s">
        <v>0</v>
      </c>
      <c r="B1" s="29"/>
      <c r="C1" s="29"/>
      <c r="D1" s="29"/>
      <c r="E1" s="29"/>
      <c r="F1" s="29"/>
    </row>
    <row r="3" spans="1:6" ht="45" customHeight="1" x14ac:dyDescent="0.2">
      <c r="A3" s="1" t="s">
        <v>1</v>
      </c>
      <c r="B3" s="28" t="s">
        <v>2</v>
      </c>
      <c r="C3" s="29"/>
      <c r="D3" s="29"/>
      <c r="E3" s="29"/>
      <c r="F3" s="29"/>
    </row>
    <row r="5" spans="1:6" ht="16" x14ac:dyDescent="0.2">
      <c r="A5" s="1" t="s">
        <v>3</v>
      </c>
      <c r="B5" s="3"/>
    </row>
    <row r="6" spans="1:6" x14ac:dyDescent="0.2">
      <c r="A6" s="4"/>
      <c r="B6" s="4"/>
    </row>
    <row r="7" spans="1:6" ht="34" customHeight="1" x14ac:dyDescent="0.2">
      <c r="A7" s="4">
        <v>1</v>
      </c>
      <c r="B7" s="4" t="s">
        <v>4</v>
      </c>
    </row>
    <row r="8" spans="1:6" ht="34" customHeight="1" x14ac:dyDescent="0.2">
      <c r="A8" s="4">
        <v>2</v>
      </c>
      <c r="B8" s="4" t="s">
        <v>5</v>
      </c>
    </row>
    <row r="9" spans="1:6" ht="34" customHeight="1" x14ac:dyDescent="0.2">
      <c r="A9" s="4">
        <v>3</v>
      </c>
      <c r="B9" s="4" t="s">
        <v>6</v>
      </c>
    </row>
    <row r="10" spans="1:6" ht="34" customHeight="1" x14ac:dyDescent="0.2">
      <c r="A10" s="4">
        <v>4</v>
      </c>
      <c r="B10" s="4" t="s">
        <v>7</v>
      </c>
    </row>
    <row r="11" spans="1:6" ht="34" customHeight="1" x14ac:dyDescent="0.2">
      <c r="A11">
        <v>5</v>
      </c>
      <c r="B11" s="27" t="s">
        <v>8</v>
      </c>
    </row>
    <row r="13" spans="1:6" ht="45" customHeight="1" x14ac:dyDescent="0.2">
      <c r="A13" s="1" t="s">
        <v>9</v>
      </c>
      <c r="B13" s="28" t="s">
        <v>10</v>
      </c>
      <c r="C13" s="29"/>
      <c r="D13" s="29"/>
      <c r="E13" s="29"/>
      <c r="F13" s="29"/>
    </row>
    <row r="15" spans="1:6" ht="45" customHeight="1" x14ac:dyDescent="0.2">
      <c r="A15" s="1" t="s">
        <v>11</v>
      </c>
      <c r="B15" s="28" t="s">
        <v>12</v>
      </c>
      <c r="C15" s="29"/>
      <c r="D15" s="29"/>
      <c r="E15" s="29"/>
      <c r="F15" s="29"/>
    </row>
    <row r="17" spans="1:6" ht="45" customHeight="1" x14ac:dyDescent="0.2">
      <c r="A17" s="1" t="s">
        <v>13</v>
      </c>
      <c r="B17" s="28" t="s">
        <v>14</v>
      </c>
      <c r="C17" s="29"/>
      <c r="D17" s="29"/>
      <c r="E17" s="29"/>
      <c r="F17" s="29"/>
    </row>
    <row r="19" spans="1:6" ht="45" customHeight="1" x14ac:dyDescent="0.2">
      <c r="A19" s="1" t="s">
        <v>15</v>
      </c>
      <c r="B19" s="28" t="s">
        <v>16</v>
      </c>
      <c r="C19" s="29"/>
      <c r="D19" s="29"/>
      <c r="E19" s="29"/>
      <c r="F19" s="29"/>
    </row>
    <row r="21" spans="1:6" ht="45" customHeight="1" x14ac:dyDescent="0.2">
      <c r="A21" s="1" t="s">
        <v>17</v>
      </c>
      <c r="B21" s="28" t="s">
        <v>18</v>
      </c>
      <c r="C21" s="29"/>
      <c r="D21" s="29"/>
      <c r="E21" s="29"/>
      <c r="F21" s="29"/>
    </row>
    <row r="23" spans="1:6" ht="45" customHeight="1" x14ac:dyDescent="0.2">
      <c r="A23" s="1" t="s">
        <v>19</v>
      </c>
      <c r="B23" s="28" t="s">
        <v>20</v>
      </c>
      <c r="C23" s="29"/>
      <c r="D23" s="29"/>
      <c r="E23" s="29"/>
      <c r="F23" s="29"/>
    </row>
  </sheetData>
  <mergeCells count="8">
    <mergeCell ref="B23:F23"/>
    <mergeCell ref="B17:F17"/>
    <mergeCell ref="B13:F13"/>
    <mergeCell ref="B21:F21"/>
    <mergeCell ref="B15:F15"/>
    <mergeCell ref="A1:F1"/>
    <mergeCell ref="B3:F3"/>
    <mergeCell ref="B19:F19"/>
  </mergeCell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"/>
  <sheetViews>
    <sheetView showGridLines="0" tabSelected="1" zoomScale="90" workbookViewId="0">
      <pane ySplit="5" topLeftCell="A6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34" customWidth="1"/>
    <col min="2" max="4" width="18" customWidth="1"/>
    <col min="5" max="5" width="65" customWidth="1"/>
    <col min="6" max="6" width="22" customWidth="1"/>
  </cols>
  <sheetData>
    <row r="1" spans="1:6" ht="30" customHeight="1" x14ac:dyDescent="0.2">
      <c r="A1" s="30" t="s">
        <v>21</v>
      </c>
      <c r="B1" s="29"/>
      <c r="C1" s="29"/>
      <c r="D1" s="29"/>
      <c r="E1" s="29"/>
    </row>
    <row r="3" spans="1:6" ht="16" x14ac:dyDescent="0.2">
      <c r="A3" s="5" t="s">
        <v>22</v>
      </c>
      <c r="B3" s="6" t="s">
        <v>23</v>
      </c>
      <c r="C3" s="31" t="s">
        <v>24</v>
      </c>
      <c r="D3" s="29"/>
      <c r="E3" s="29"/>
    </row>
    <row r="5" spans="1:6" ht="32" customHeight="1" x14ac:dyDescent="0.2">
      <c r="A5" s="7" t="s">
        <v>25</v>
      </c>
      <c r="B5" s="7" t="s">
        <v>26</v>
      </c>
      <c r="C5" s="7" t="s">
        <v>23</v>
      </c>
      <c r="D5" s="7" t="s">
        <v>27</v>
      </c>
      <c r="E5" s="7" t="s">
        <v>28</v>
      </c>
      <c r="F5" s="7" t="s">
        <v>29</v>
      </c>
    </row>
    <row r="6" spans="1:6" ht="34" customHeight="1" x14ac:dyDescent="0.2">
      <c r="A6" s="4" t="s">
        <v>30</v>
      </c>
      <c r="B6" s="8">
        <v>1200000</v>
      </c>
      <c r="C6" s="8">
        <v>2000000</v>
      </c>
      <c r="D6" s="8">
        <v>3000000</v>
      </c>
      <c r="E6" s="2" t="s">
        <v>31</v>
      </c>
      <c r="F6" s="9">
        <f t="shared" ref="F6:F14" si="0">INDEX(B6:D6,1,MATCH($B$3,$B$5:$D$5,0))</f>
        <v>2000000</v>
      </c>
    </row>
    <row r="7" spans="1:6" ht="34" customHeight="1" x14ac:dyDescent="0.2">
      <c r="A7" s="4" t="s">
        <v>32</v>
      </c>
      <c r="B7" s="10">
        <v>0.08</v>
      </c>
      <c r="C7" s="10">
        <v>0.12</v>
      </c>
      <c r="D7" s="10">
        <v>0.15</v>
      </c>
      <c r="E7" s="2" t="s">
        <v>33</v>
      </c>
      <c r="F7" s="11">
        <f t="shared" si="0"/>
        <v>0.12</v>
      </c>
    </row>
    <row r="8" spans="1:6" ht="34" customHeight="1" x14ac:dyDescent="0.2">
      <c r="A8" s="4" t="s">
        <v>34</v>
      </c>
      <c r="B8" s="10">
        <v>0.2</v>
      </c>
      <c r="C8" s="10">
        <v>0.3</v>
      </c>
      <c r="D8" s="10">
        <v>0.35</v>
      </c>
      <c r="E8" s="2" t="s">
        <v>35</v>
      </c>
      <c r="F8" s="11">
        <f t="shared" si="0"/>
        <v>0.3</v>
      </c>
    </row>
    <row r="9" spans="1:6" ht="34" customHeight="1" x14ac:dyDescent="0.2">
      <c r="A9" s="4" t="s">
        <v>36</v>
      </c>
      <c r="B9" s="10">
        <v>2.5000000000000001E-2</v>
      </c>
      <c r="C9" s="10">
        <v>0.04</v>
      </c>
      <c r="D9" s="10">
        <v>4.4999999999999998E-2</v>
      </c>
      <c r="E9" s="2" t="s">
        <v>37</v>
      </c>
      <c r="F9" s="11">
        <f t="shared" si="0"/>
        <v>0.04</v>
      </c>
    </row>
    <row r="10" spans="1:6" ht="34" customHeight="1" x14ac:dyDescent="0.2">
      <c r="A10" s="4" t="s">
        <v>38</v>
      </c>
      <c r="B10" s="12">
        <v>5500</v>
      </c>
      <c r="C10" s="12">
        <v>6500</v>
      </c>
      <c r="D10" s="12">
        <v>7000</v>
      </c>
      <c r="E10" s="2" t="s">
        <v>39</v>
      </c>
      <c r="F10" s="13">
        <f t="shared" si="0"/>
        <v>6500</v>
      </c>
    </row>
    <row r="11" spans="1:6" ht="34" customHeight="1" x14ac:dyDescent="0.2">
      <c r="A11" s="4" t="s">
        <v>40</v>
      </c>
      <c r="B11" s="10">
        <v>0.38</v>
      </c>
      <c r="C11" s="10">
        <v>0.42</v>
      </c>
      <c r="D11" s="10">
        <v>0.45</v>
      </c>
      <c r="E11" s="2" t="s">
        <v>41</v>
      </c>
      <c r="F11" s="11">
        <f t="shared" si="0"/>
        <v>0.42</v>
      </c>
    </row>
    <row r="12" spans="1:6" ht="34" customHeight="1" x14ac:dyDescent="0.2">
      <c r="A12" s="4" t="s">
        <v>42</v>
      </c>
      <c r="B12" s="10">
        <v>0.1</v>
      </c>
      <c r="C12" s="10">
        <v>0.08</v>
      </c>
      <c r="D12" s="10">
        <v>7.0000000000000007E-2</v>
      </c>
      <c r="E12" s="2" t="s">
        <v>43</v>
      </c>
      <c r="F12" s="11">
        <f t="shared" si="0"/>
        <v>0.08</v>
      </c>
    </row>
    <row r="13" spans="1:6" ht="34" customHeight="1" x14ac:dyDescent="0.2">
      <c r="A13" s="4" t="s">
        <v>44</v>
      </c>
      <c r="B13" s="12">
        <v>10000000</v>
      </c>
      <c r="C13" s="12">
        <v>10000000</v>
      </c>
      <c r="D13" s="12">
        <v>10000000</v>
      </c>
      <c r="E13" s="2" t="s">
        <v>45</v>
      </c>
      <c r="F13" s="13">
        <f t="shared" si="0"/>
        <v>10000000</v>
      </c>
    </row>
    <row r="14" spans="1:6" ht="34" customHeight="1" x14ac:dyDescent="0.2">
      <c r="A14" s="4" t="s">
        <v>46</v>
      </c>
      <c r="B14" s="10">
        <v>0.05</v>
      </c>
      <c r="C14" s="10">
        <v>0.1</v>
      </c>
      <c r="D14" s="10">
        <v>0.15</v>
      </c>
      <c r="E14" s="2" t="s">
        <v>47</v>
      </c>
      <c r="F14" s="11">
        <f t="shared" si="0"/>
        <v>0.1</v>
      </c>
    </row>
    <row r="16" spans="1:6" ht="32" x14ac:dyDescent="0.2">
      <c r="A16" s="7" t="s">
        <v>48</v>
      </c>
      <c r="B16" s="7" t="s">
        <v>49</v>
      </c>
    </row>
    <row r="17" spans="1:6" ht="16" x14ac:dyDescent="0.2">
      <c r="A17" s="5" t="s">
        <v>13</v>
      </c>
      <c r="F17" s="14">
        <f>F11-F12</f>
        <v>0.33999999999999997</v>
      </c>
    </row>
    <row r="18" spans="1:6" ht="16" x14ac:dyDescent="0.2">
      <c r="A18" s="5" t="s">
        <v>50</v>
      </c>
      <c r="F18" s="15">
        <f>F6*F7*F8*F9</f>
        <v>2880</v>
      </c>
    </row>
    <row r="19" spans="1:6" ht="16" x14ac:dyDescent="0.2">
      <c r="A19" s="5" t="s">
        <v>51</v>
      </c>
      <c r="F19" s="15">
        <f>F18*(1+F14)</f>
        <v>3168.0000000000005</v>
      </c>
    </row>
    <row r="20" spans="1:6" ht="16" x14ac:dyDescent="0.2">
      <c r="A20" s="5" t="s">
        <v>52</v>
      </c>
      <c r="F20" s="16">
        <f>F19*F10</f>
        <v>20592000.000000004</v>
      </c>
    </row>
    <row r="21" spans="1:6" ht="16" x14ac:dyDescent="0.2">
      <c r="A21" s="5" t="s">
        <v>53</v>
      </c>
      <c r="F21" s="16">
        <f>F20*F17</f>
        <v>7001280.0000000009</v>
      </c>
    </row>
    <row r="22" spans="1:6" ht="16" x14ac:dyDescent="0.2">
      <c r="A22" s="5" t="s">
        <v>54</v>
      </c>
      <c r="F22" s="16">
        <f>F21-F13</f>
        <v>-2998719.9999999991</v>
      </c>
    </row>
  </sheetData>
  <mergeCells count="2">
    <mergeCell ref="A1:E1"/>
    <mergeCell ref="C3:E3"/>
  </mergeCells>
  <dataValidations count="1">
    <dataValidation type="list" sqref="B3" xr:uid="{00000000-0002-0000-0100-000000000000}">
      <formula1>"Downside,Base,Upside"</formula1>
    </dataValidation>
  </dataValidations>
  <pageMargins left="0.75" right="0.75" top="1" bottom="1" header="0.5" footer="0.5"/>
  <pageSetup fitToHeight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2"/>
  <sheetViews>
    <sheetView showGridLines="0" zoomScale="90" workbookViewId="0">
      <selection sqref="A1:H1"/>
    </sheetView>
  </sheetViews>
  <sheetFormatPr baseColWidth="10" defaultColWidth="8.83203125" defaultRowHeight="15" x14ac:dyDescent="0.2"/>
  <cols>
    <col min="1" max="1" width="37" customWidth="1"/>
    <col min="2" max="4" width="20" customWidth="1"/>
    <col min="5" max="5" width="16" customWidth="1"/>
    <col min="6" max="6" width="55" customWidth="1"/>
    <col min="7" max="7" width="22" customWidth="1"/>
    <col min="8" max="8" width="4" customWidth="1"/>
  </cols>
  <sheetData>
    <row r="1" spans="1:8" ht="30" customHeight="1" x14ac:dyDescent="0.2">
      <c r="A1" s="30" t="s">
        <v>55</v>
      </c>
      <c r="B1" s="29"/>
      <c r="C1" s="29"/>
      <c r="D1" s="29"/>
      <c r="E1" s="29"/>
      <c r="F1" s="29"/>
      <c r="G1" s="29"/>
      <c r="H1" s="29"/>
    </row>
    <row r="3" spans="1:8" ht="32" customHeight="1" x14ac:dyDescent="0.2">
      <c r="A3" s="7" t="s">
        <v>56</v>
      </c>
      <c r="B3" s="7" t="s">
        <v>26</v>
      </c>
      <c r="C3" s="7" t="s">
        <v>23</v>
      </c>
      <c r="D3" s="7" t="s">
        <v>27</v>
      </c>
      <c r="E3" s="7" t="s">
        <v>57</v>
      </c>
      <c r="F3" s="7" t="s">
        <v>58</v>
      </c>
      <c r="G3" s="7" t="s">
        <v>59</v>
      </c>
      <c r="H3" s="7"/>
    </row>
    <row r="4" spans="1:8" ht="16" x14ac:dyDescent="0.2">
      <c r="A4" s="5" t="s">
        <v>60</v>
      </c>
      <c r="B4" s="9">
        <f>Inputs!B6</f>
        <v>1200000</v>
      </c>
      <c r="C4" s="9">
        <f>Inputs!C6</f>
        <v>2000000</v>
      </c>
      <c r="D4" s="9">
        <f>Inputs!D6</f>
        <v>3000000</v>
      </c>
      <c r="E4" s="4" t="s">
        <v>61</v>
      </c>
      <c r="F4" s="4" t="s">
        <v>30</v>
      </c>
      <c r="G4" s="15">
        <f>INDEX(B4:D4,1,MATCH(Inputs!$B$3,$B$3:$D$3,0))</f>
        <v>2000000</v>
      </c>
    </row>
    <row r="5" spans="1:8" ht="16" x14ac:dyDescent="0.2">
      <c r="A5" s="5" t="s">
        <v>62</v>
      </c>
      <c r="B5" s="9">
        <f>Inputs!B6*Inputs!B7</f>
        <v>96000</v>
      </c>
      <c r="C5" s="9">
        <f>Inputs!C6*Inputs!C7</f>
        <v>240000</v>
      </c>
      <c r="D5" s="9">
        <f>Inputs!D6*Inputs!D7</f>
        <v>450000</v>
      </c>
      <c r="E5" s="4" t="s">
        <v>61</v>
      </c>
      <c r="F5" s="4" t="s">
        <v>63</v>
      </c>
      <c r="G5" s="15">
        <f>INDEX(B5:D5,1,MATCH(Inputs!$B$3,$B$3:$D$3,0))</f>
        <v>240000</v>
      </c>
    </row>
    <row r="6" spans="1:8" ht="16" x14ac:dyDescent="0.2">
      <c r="A6" s="5" t="s">
        <v>64</v>
      </c>
      <c r="B6" s="9">
        <f>Inputs!B6*Inputs!B7*Inputs!B8</f>
        <v>19200</v>
      </c>
      <c r="C6" s="9">
        <f>Inputs!C6*Inputs!C7*Inputs!C8</f>
        <v>72000</v>
      </c>
      <c r="D6" s="9">
        <f>Inputs!D6*Inputs!D7*Inputs!D8</f>
        <v>157500</v>
      </c>
      <c r="E6" s="4" t="s">
        <v>65</v>
      </c>
      <c r="F6" s="4" t="s">
        <v>66</v>
      </c>
      <c r="G6" s="15">
        <f>INDEX(B6:D6,1,MATCH(Inputs!$B$3,$B$3:$D$3,0))</f>
        <v>72000</v>
      </c>
    </row>
    <row r="7" spans="1:8" ht="16" x14ac:dyDescent="0.2">
      <c r="A7" s="5" t="s">
        <v>50</v>
      </c>
      <c r="B7" s="9">
        <f>Inputs!B6*Inputs!B7*Inputs!B8*Inputs!B9</f>
        <v>480</v>
      </c>
      <c r="C7" s="9">
        <f>Inputs!C6*Inputs!C7*Inputs!C8*Inputs!C9</f>
        <v>2880</v>
      </c>
      <c r="D7" s="9">
        <f>Inputs!D6*Inputs!D7*Inputs!D8*Inputs!D9</f>
        <v>7087.5</v>
      </c>
      <c r="E7" s="4" t="s">
        <v>67</v>
      </c>
      <c r="F7" s="4" t="s">
        <v>68</v>
      </c>
      <c r="G7" s="15">
        <f>INDEX(B7:D7,1,MATCH(Inputs!$B$3,$B$3:$D$3,0))</f>
        <v>2880</v>
      </c>
    </row>
    <row r="8" spans="1:8" ht="16" x14ac:dyDescent="0.2">
      <c r="A8" s="5" t="s">
        <v>69</v>
      </c>
      <c r="B8" s="9">
        <f>Inputs!B6*Inputs!B7*Inputs!B8*Inputs!B9*Inputs!B14</f>
        <v>24</v>
      </c>
      <c r="C8" s="9">
        <f>Inputs!C6*Inputs!C7*Inputs!C8*Inputs!C9*Inputs!C14</f>
        <v>288</v>
      </c>
      <c r="D8" s="9">
        <f>Inputs!D6*Inputs!D7*Inputs!D8*Inputs!D9*Inputs!D14</f>
        <v>1063.125</v>
      </c>
      <c r="E8" s="4" t="s">
        <v>67</v>
      </c>
      <c r="F8" s="4" t="s">
        <v>70</v>
      </c>
      <c r="G8" s="15">
        <f>INDEX(B8:D8,1,MATCH(Inputs!$B$3,$B$3:$D$3,0))</f>
        <v>288</v>
      </c>
    </row>
    <row r="9" spans="1:8" ht="16" x14ac:dyDescent="0.2">
      <c r="A9" s="5" t="s">
        <v>71</v>
      </c>
      <c r="B9" s="9">
        <f>Inputs!B6*Inputs!B7*Inputs!B8*Inputs!B9*(1+Inputs!B14)</f>
        <v>504</v>
      </c>
      <c r="C9" s="9">
        <f>Inputs!C6*Inputs!C7*Inputs!C8*Inputs!C9*(1+Inputs!C14)</f>
        <v>3168.0000000000005</v>
      </c>
      <c r="D9" s="9">
        <f>Inputs!D6*Inputs!D7*Inputs!D8*Inputs!D9*(1+Inputs!D14)</f>
        <v>8150.6249999999991</v>
      </c>
      <c r="E9" s="4" t="s">
        <v>67</v>
      </c>
      <c r="F9" s="4" t="s">
        <v>72</v>
      </c>
      <c r="G9" s="15">
        <f>INDEX(B9:D9,1,MATCH(Inputs!$B$3,$B$3:$D$3,0))</f>
        <v>3168.0000000000005</v>
      </c>
    </row>
    <row r="10" spans="1:8" ht="16" x14ac:dyDescent="0.2">
      <c r="A10" s="5" t="s">
        <v>52</v>
      </c>
      <c r="B10" s="13">
        <f>Inputs!B6*Inputs!B7*Inputs!B8*Inputs!B9*(1+Inputs!B14)*Inputs!B10</f>
        <v>2772000</v>
      </c>
      <c r="C10" s="13">
        <f>Inputs!C6*Inputs!C7*Inputs!C8*Inputs!C9*(1+Inputs!C14)*Inputs!C10</f>
        <v>20592000.000000004</v>
      </c>
      <c r="D10" s="13">
        <f>Inputs!D6*Inputs!D7*Inputs!D8*Inputs!D9*(1+Inputs!D14)*Inputs!D10</f>
        <v>57054374.999999993</v>
      </c>
      <c r="E10" s="4" t="s">
        <v>73</v>
      </c>
      <c r="F10" s="4" t="s">
        <v>74</v>
      </c>
      <c r="G10" s="16">
        <f>INDEX(B10:D10,1,MATCH(Inputs!$B$3,$B$3:$D$3,0))</f>
        <v>20592000.000000004</v>
      </c>
    </row>
    <row r="11" spans="1:8" ht="16" x14ac:dyDescent="0.2">
      <c r="A11" s="5" t="s">
        <v>75</v>
      </c>
      <c r="B11" s="13">
        <f>Inputs!B6*Inputs!B7*Inputs!B8*Inputs!B9*(1+Inputs!B14)*Inputs!B10*Inputs!B11</f>
        <v>1053360</v>
      </c>
      <c r="C11" s="13">
        <f>Inputs!C6*Inputs!C7*Inputs!C8*Inputs!C9*(1+Inputs!C14)*Inputs!C10*Inputs!C11</f>
        <v>8648640.0000000019</v>
      </c>
      <c r="D11" s="13">
        <f>Inputs!D6*Inputs!D7*Inputs!D8*Inputs!D9*(1+Inputs!D14)*Inputs!D10*Inputs!D11</f>
        <v>25674468.749999996</v>
      </c>
      <c r="E11" s="4" t="s">
        <v>73</v>
      </c>
      <c r="F11" s="4" t="s">
        <v>76</v>
      </c>
      <c r="G11" s="16">
        <f>INDEX(B11:D11,1,MATCH(Inputs!$B$3,$B$3:$D$3,0))</f>
        <v>8648640.0000000019</v>
      </c>
    </row>
    <row r="12" spans="1:8" ht="16" x14ac:dyDescent="0.2">
      <c r="A12" s="5" t="s">
        <v>77</v>
      </c>
      <c r="B12" s="13">
        <f>Inputs!B6*Inputs!B7*Inputs!B8*Inputs!B9*(1+Inputs!B14)*Inputs!B10*Inputs!B12</f>
        <v>277200</v>
      </c>
      <c r="C12" s="13">
        <f>Inputs!C6*Inputs!C7*Inputs!C8*Inputs!C9*(1+Inputs!C14)*Inputs!C10*Inputs!C12</f>
        <v>1647360.0000000002</v>
      </c>
      <c r="D12" s="13">
        <f>Inputs!D6*Inputs!D7*Inputs!D8*Inputs!D9*(1+Inputs!D14)*Inputs!D10*Inputs!D12</f>
        <v>3993806.25</v>
      </c>
      <c r="E12" s="4" t="s">
        <v>73</v>
      </c>
      <c r="F12" s="4" t="s">
        <v>78</v>
      </c>
      <c r="G12" s="16">
        <f>INDEX(B12:D12,1,MATCH(Inputs!$B$3,$B$3:$D$3,0))</f>
        <v>1647360.0000000002</v>
      </c>
    </row>
    <row r="13" spans="1:8" ht="16" x14ac:dyDescent="0.2">
      <c r="A13" s="5" t="s">
        <v>53</v>
      </c>
      <c r="B13" s="13">
        <f>Inputs!B6*Inputs!B7*Inputs!B8*Inputs!B9*(1+Inputs!B14)*Inputs!B10*(Inputs!B11-Inputs!B12)</f>
        <v>776160.00000000012</v>
      </c>
      <c r="C13" s="13">
        <f>Inputs!C6*Inputs!C7*Inputs!C8*Inputs!C9*(1+Inputs!C14)*Inputs!C10*(Inputs!C11-Inputs!C12)</f>
        <v>7001280.0000000009</v>
      </c>
      <c r="D13" s="13">
        <f>Inputs!D6*Inputs!D7*Inputs!D8*Inputs!D9*(1+Inputs!D14)*Inputs!D10*(Inputs!D11-Inputs!D12)</f>
        <v>21680662.499999996</v>
      </c>
      <c r="E13" s="4" t="s">
        <v>73</v>
      </c>
      <c r="F13" s="4" t="s">
        <v>79</v>
      </c>
      <c r="G13" s="16">
        <f>INDEX(B13:D13,1,MATCH(Inputs!$B$3,$B$3:$D$3,0))</f>
        <v>7001280.0000000009</v>
      </c>
    </row>
    <row r="14" spans="1:8" ht="16" x14ac:dyDescent="0.2">
      <c r="A14" s="5" t="s">
        <v>80</v>
      </c>
      <c r="B14" s="13">
        <f>Inputs!B13</f>
        <v>10000000</v>
      </c>
      <c r="C14" s="13">
        <f>Inputs!C13</f>
        <v>10000000</v>
      </c>
      <c r="D14" s="13">
        <f>Inputs!D13</f>
        <v>10000000</v>
      </c>
      <c r="E14" s="4" t="s">
        <v>73</v>
      </c>
      <c r="F14" s="4" t="s">
        <v>81</v>
      </c>
      <c r="G14" s="16">
        <f>INDEX(B14:D14,1,MATCH(Inputs!$B$3,$B$3:$D$3,0))</f>
        <v>10000000</v>
      </c>
    </row>
    <row r="15" spans="1:8" ht="16" x14ac:dyDescent="0.2">
      <c r="A15" s="5" t="s">
        <v>54</v>
      </c>
      <c r="B15" s="13">
        <f>Inputs!B6*Inputs!B7*Inputs!B8*Inputs!B9*(1+Inputs!B14)*Inputs!B10*(Inputs!B11-Inputs!B12)-Inputs!B13</f>
        <v>-9223840</v>
      </c>
      <c r="C15" s="13">
        <f>Inputs!C6*Inputs!C7*Inputs!C8*Inputs!C9*(1+Inputs!C14)*Inputs!C10*(Inputs!C11-Inputs!C12)-Inputs!C13</f>
        <v>-2998719.9999999991</v>
      </c>
      <c r="D15" s="13">
        <f>Inputs!D6*Inputs!D7*Inputs!D8*Inputs!D9*(1+Inputs!D14)*Inputs!D10*(Inputs!D11-Inputs!D12)-Inputs!D13</f>
        <v>11680662.499999996</v>
      </c>
      <c r="E15" s="4" t="s">
        <v>73</v>
      </c>
      <c r="F15" s="4" t="s">
        <v>82</v>
      </c>
      <c r="G15" s="16">
        <f>INDEX(B15:D15,1,MATCH(Inputs!$B$3,$B$3:$D$3,0))</f>
        <v>-2998719.9999999991</v>
      </c>
    </row>
    <row r="16" spans="1:8" ht="16" x14ac:dyDescent="0.2">
      <c r="A16" s="5" t="s">
        <v>83</v>
      </c>
      <c r="B16" s="13">
        <f>Inputs!B10*(Inputs!B11-Inputs!B12)</f>
        <v>1540.0000000000002</v>
      </c>
      <c r="C16" s="13">
        <f>Inputs!C10*(Inputs!C11-Inputs!C12)</f>
        <v>2210</v>
      </c>
      <c r="D16" s="13">
        <f>Inputs!D10*(Inputs!D11-Inputs!D12)</f>
        <v>2660</v>
      </c>
      <c r="E16" s="4" t="s">
        <v>84</v>
      </c>
      <c r="F16" s="4" t="s">
        <v>85</v>
      </c>
      <c r="G16" s="16">
        <f>INDEX(B16:D16,1,MATCH(Inputs!$B$3,$B$3:$D$3,0))</f>
        <v>2210</v>
      </c>
    </row>
    <row r="17" spans="1:7" ht="16" x14ac:dyDescent="0.2">
      <c r="A17" s="5" t="s">
        <v>86</v>
      </c>
      <c r="B17" s="9">
        <f>IFERROR(Inputs!B13/(Inputs!B10*(Inputs!B11-Inputs!B12)),0)</f>
        <v>6493.5064935064929</v>
      </c>
      <c r="C17" s="9">
        <f>IFERROR(Inputs!C13/(Inputs!C10*(Inputs!C11-Inputs!C12)),0)</f>
        <v>4524.8868778280539</v>
      </c>
      <c r="D17" s="9">
        <f>IFERROR(Inputs!D13/(Inputs!D10*(Inputs!D11-Inputs!D12)),0)</f>
        <v>3759.3984962406016</v>
      </c>
      <c r="E17" s="4" t="s">
        <v>67</v>
      </c>
      <c r="F17" s="4" t="s">
        <v>87</v>
      </c>
      <c r="G17" s="15">
        <f>INDEX(B17:D17,1,MATCH(Inputs!$B$3,$B$3:$D$3,0))</f>
        <v>4524.8868778280539</v>
      </c>
    </row>
    <row r="18" spans="1:7" ht="16" x14ac:dyDescent="0.2">
      <c r="A18" s="5" t="s">
        <v>88</v>
      </c>
      <c r="B18" s="13">
        <f>IFERROR(Inputs!B13/(Inputs!B6*Inputs!B7*Inputs!B8*Inputs!B9),0)</f>
        <v>20833.333333333332</v>
      </c>
      <c r="C18" s="13">
        <f>IFERROR(Inputs!C13/(Inputs!C6*Inputs!C7*Inputs!C8*Inputs!C9),0)</f>
        <v>3472.2222222222222</v>
      </c>
      <c r="D18" s="13">
        <f>IFERROR(Inputs!D13/(Inputs!D6*Inputs!D7*Inputs!D8*Inputs!D9),0)</f>
        <v>1410.9347442680776</v>
      </c>
      <c r="E18" s="4" t="s">
        <v>84</v>
      </c>
      <c r="F18" s="4" t="s">
        <v>89</v>
      </c>
      <c r="G18" s="16">
        <f>INDEX(B18:D18,1,MATCH(Inputs!$B$3,$B$3:$D$3,0))</f>
        <v>3472.2222222222222</v>
      </c>
    </row>
    <row r="19" spans="1:7" ht="16" x14ac:dyDescent="0.2">
      <c r="A19" s="5" t="s">
        <v>90</v>
      </c>
      <c r="B19" s="17">
        <f>IFERROR((Inputs!B6*Inputs!B7*Inputs!B8*Inputs!B9*(1+Inputs!B14)*Inputs!B10*(Inputs!B11-Inputs!B12))/Inputs!B13,0)</f>
        <v>7.7616000000000018E-2</v>
      </c>
      <c r="C19" s="17">
        <f>IFERROR((Inputs!C6*Inputs!C7*Inputs!C8*Inputs!C9*(1+Inputs!C14)*Inputs!C10*(Inputs!C11-Inputs!C12))/Inputs!C13,0)</f>
        <v>0.70012800000000008</v>
      </c>
      <c r="D19" s="17">
        <f>IFERROR((Inputs!D6*Inputs!D7*Inputs!D8*Inputs!D9*(1+Inputs!D14)*Inputs!D10*(Inputs!D11-Inputs!D12))/Inputs!D13,0)</f>
        <v>2.1680662499999994</v>
      </c>
      <c r="E19" s="4" t="s">
        <v>91</v>
      </c>
      <c r="F19" s="4" t="s">
        <v>92</v>
      </c>
      <c r="G19" s="18">
        <f>INDEX(B19:D19,1,MATCH(Inputs!$B$3,$B$3:$D$3,0))</f>
        <v>0.70012800000000008</v>
      </c>
    </row>
    <row r="21" spans="1:7" ht="16" x14ac:dyDescent="0.2">
      <c r="A21" s="4" t="s">
        <v>93</v>
      </c>
      <c r="B21" s="4" t="s">
        <v>26</v>
      </c>
      <c r="C21" s="4" t="s">
        <v>23</v>
      </c>
      <c r="D21" s="4" t="s">
        <v>27</v>
      </c>
    </row>
    <row r="22" spans="1:7" ht="16" x14ac:dyDescent="0.2">
      <c r="A22" s="4" t="s">
        <v>94</v>
      </c>
      <c r="B22" s="4">
        <f>B15</f>
        <v>-9223840</v>
      </c>
      <c r="C22" s="4">
        <f>C15</f>
        <v>-2998719.9999999991</v>
      </c>
      <c r="D22" s="4">
        <f>D15</f>
        <v>11680662.499999996</v>
      </c>
    </row>
  </sheetData>
  <autoFilter ref="A3:G19" xr:uid="{00000000-0009-0000-0000-000002000000}"/>
  <mergeCells count="1">
    <mergeCell ref="A1:H1"/>
  </mergeCells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9"/>
  <sheetViews>
    <sheetView showGridLines="0" zoomScale="90" workbookViewId="0">
      <pane ySplit="4" topLeftCell="A5" activePane="bottomLeft" state="frozen"/>
      <selection pane="bottomLeft" sqref="A1:I1"/>
    </sheetView>
  </sheetViews>
  <sheetFormatPr baseColWidth="10" defaultColWidth="8.83203125" defaultRowHeight="15" x14ac:dyDescent="0.2"/>
  <cols>
    <col min="1" max="1" width="16" customWidth="1"/>
    <col min="2" max="7" width="18" customWidth="1"/>
    <col min="8" max="8" width="22" customWidth="1"/>
    <col min="9" max="9" width="31" customWidth="1"/>
  </cols>
  <sheetData>
    <row r="1" spans="1:9" ht="30" customHeight="1" x14ac:dyDescent="0.2">
      <c r="A1" s="30" t="s">
        <v>95</v>
      </c>
      <c r="B1" s="29"/>
      <c r="C1" s="29"/>
      <c r="D1" s="29"/>
      <c r="E1" s="29"/>
      <c r="F1" s="29"/>
      <c r="G1" s="29"/>
      <c r="H1" s="29"/>
      <c r="I1" s="29"/>
    </row>
    <row r="2" spans="1:9" x14ac:dyDescent="0.2">
      <c r="A2" s="33" t="s">
        <v>96</v>
      </c>
      <c r="B2" s="29"/>
      <c r="C2" s="29"/>
      <c r="D2" s="29"/>
      <c r="E2" s="29"/>
      <c r="F2" s="29"/>
      <c r="G2" s="29"/>
      <c r="H2" s="29"/>
      <c r="I2" s="29"/>
    </row>
    <row r="4" spans="1:9" ht="32" customHeight="1" x14ac:dyDescent="0.2">
      <c r="A4" s="7" t="s">
        <v>97</v>
      </c>
      <c r="B4" s="7" t="s">
        <v>98</v>
      </c>
      <c r="C4" s="7" t="s">
        <v>60</v>
      </c>
      <c r="D4" s="7" t="s">
        <v>99</v>
      </c>
      <c r="E4" s="7" t="s">
        <v>100</v>
      </c>
      <c r="F4" s="7" t="s">
        <v>50</v>
      </c>
      <c r="G4" s="7" t="s">
        <v>69</v>
      </c>
      <c r="H4" s="7" t="s">
        <v>52</v>
      </c>
      <c r="I4" s="7" t="s">
        <v>101</v>
      </c>
    </row>
    <row r="5" spans="1:9" ht="16" x14ac:dyDescent="0.2">
      <c r="A5" s="4" t="s">
        <v>102</v>
      </c>
      <c r="B5" s="10">
        <v>0.06</v>
      </c>
      <c r="C5" s="9">
        <f>Inputs!$F$6*B5</f>
        <v>120000</v>
      </c>
      <c r="D5" s="9">
        <f>C5*Inputs!$F$7</f>
        <v>14400</v>
      </c>
      <c r="E5" s="9">
        <f>D5*Inputs!$F$8</f>
        <v>4320</v>
      </c>
      <c r="F5" s="9">
        <f>E5*Inputs!$F$9</f>
        <v>172.8</v>
      </c>
      <c r="G5" s="9">
        <f>F5*Inputs!$F$14</f>
        <v>17.28</v>
      </c>
      <c r="H5" s="13">
        <f>(F5+G5)*Inputs!$F$10</f>
        <v>1235520</v>
      </c>
      <c r="I5" s="16">
        <f>H5*Inputs!$F$17-Inputs!$F$13*B5</f>
        <v>-179923.20000000001</v>
      </c>
    </row>
    <row r="6" spans="1:9" ht="16" x14ac:dyDescent="0.2">
      <c r="A6" s="4" t="s">
        <v>103</v>
      </c>
      <c r="B6" s="10">
        <v>0.06</v>
      </c>
      <c r="C6" s="9">
        <f>Inputs!$F$6*B6</f>
        <v>120000</v>
      </c>
      <c r="D6" s="9">
        <f>C6*Inputs!$F$7</f>
        <v>14400</v>
      </c>
      <c r="E6" s="9">
        <f>D6*Inputs!$F$8</f>
        <v>4320</v>
      </c>
      <c r="F6" s="9">
        <f>E6*Inputs!$F$9</f>
        <v>172.8</v>
      </c>
      <c r="G6" s="9">
        <f>F6*Inputs!$F$14</f>
        <v>17.28</v>
      </c>
      <c r="H6" s="13">
        <f>(F6+G6)*Inputs!$F$10</f>
        <v>1235520</v>
      </c>
      <c r="I6" s="16">
        <f>H6*Inputs!$F$17-Inputs!$F$13*B6</f>
        <v>-179923.20000000001</v>
      </c>
    </row>
    <row r="7" spans="1:9" ht="16" x14ac:dyDescent="0.2">
      <c r="A7" s="4" t="s">
        <v>104</v>
      </c>
      <c r="B7" s="10">
        <v>7.0000000000000007E-2</v>
      </c>
      <c r="C7" s="9">
        <f>Inputs!$F$6*B7</f>
        <v>140000</v>
      </c>
      <c r="D7" s="9">
        <f>C7*Inputs!$F$7</f>
        <v>16800</v>
      </c>
      <c r="E7" s="9">
        <f>D7*Inputs!$F$8</f>
        <v>5040</v>
      </c>
      <c r="F7" s="9">
        <f>E7*Inputs!$F$9</f>
        <v>201.6</v>
      </c>
      <c r="G7" s="9">
        <f>F7*Inputs!$F$14</f>
        <v>20.16</v>
      </c>
      <c r="H7" s="13">
        <f>(F7+G7)*Inputs!$F$10</f>
        <v>1441440</v>
      </c>
      <c r="I7" s="16">
        <f>H7*Inputs!$F$17-Inputs!$F$13*B7</f>
        <v>-209910.40000000014</v>
      </c>
    </row>
    <row r="8" spans="1:9" ht="16" x14ac:dyDescent="0.2">
      <c r="A8" s="4" t="s">
        <v>105</v>
      </c>
      <c r="B8" s="10">
        <v>0.08</v>
      </c>
      <c r="C8" s="9">
        <f>Inputs!$F$6*B8</f>
        <v>160000</v>
      </c>
      <c r="D8" s="9">
        <f>C8*Inputs!$F$7</f>
        <v>19200</v>
      </c>
      <c r="E8" s="9">
        <f>D8*Inputs!$F$8</f>
        <v>5760</v>
      </c>
      <c r="F8" s="9">
        <f>E8*Inputs!$F$9</f>
        <v>230.4</v>
      </c>
      <c r="G8" s="9">
        <f>F8*Inputs!$F$14</f>
        <v>23.040000000000003</v>
      </c>
      <c r="H8" s="13">
        <f>(F8+G8)*Inputs!$F$10</f>
        <v>1647360</v>
      </c>
      <c r="I8" s="16">
        <f>H8*Inputs!$F$17-Inputs!$F$13*B8</f>
        <v>-239897.60000000009</v>
      </c>
    </row>
    <row r="9" spans="1:9" ht="16" x14ac:dyDescent="0.2">
      <c r="A9" s="4" t="s">
        <v>106</v>
      </c>
      <c r="B9" s="10">
        <v>0.08</v>
      </c>
      <c r="C9" s="9">
        <f>Inputs!$F$6*B9</f>
        <v>160000</v>
      </c>
      <c r="D9" s="9">
        <f>C9*Inputs!$F$7</f>
        <v>19200</v>
      </c>
      <c r="E9" s="9">
        <f>D9*Inputs!$F$8</f>
        <v>5760</v>
      </c>
      <c r="F9" s="9">
        <f>E9*Inputs!$F$9</f>
        <v>230.4</v>
      </c>
      <c r="G9" s="9">
        <f>F9*Inputs!$F$14</f>
        <v>23.040000000000003</v>
      </c>
      <c r="H9" s="13">
        <f>(F9+G9)*Inputs!$F$10</f>
        <v>1647360</v>
      </c>
      <c r="I9" s="16">
        <f>H9*Inputs!$F$17-Inputs!$F$13*B9</f>
        <v>-239897.60000000009</v>
      </c>
    </row>
    <row r="10" spans="1:9" ht="16" x14ac:dyDescent="0.2">
      <c r="A10" s="4" t="s">
        <v>107</v>
      </c>
      <c r="B10" s="10">
        <v>0.09</v>
      </c>
      <c r="C10" s="9">
        <f>Inputs!$F$6*B10</f>
        <v>180000</v>
      </c>
      <c r="D10" s="9">
        <f>C10*Inputs!$F$7</f>
        <v>21600</v>
      </c>
      <c r="E10" s="9">
        <f>D10*Inputs!$F$8</f>
        <v>6480</v>
      </c>
      <c r="F10" s="9">
        <f>E10*Inputs!$F$9</f>
        <v>259.2</v>
      </c>
      <c r="G10" s="9">
        <f>F10*Inputs!$F$14</f>
        <v>25.92</v>
      </c>
      <c r="H10" s="13">
        <f>(F10+G10)*Inputs!$F$10</f>
        <v>1853280</v>
      </c>
      <c r="I10" s="16">
        <f>H10*Inputs!$F$17-Inputs!$F$13*B10</f>
        <v>-269884.80000000005</v>
      </c>
    </row>
    <row r="11" spans="1:9" ht="16" x14ac:dyDescent="0.2">
      <c r="A11" s="4" t="s">
        <v>108</v>
      </c>
      <c r="B11" s="10">
        <v>0.09</v>
      </c>
      <c r="C11" s="9">
        <f>Inputs!$F$6*B11</f>
        <v>180000</v>
      </c>
      <c r="D11" s="9">
        <f>C11*Inputs!$F$7</f>
        <v>21600</v>
      </c>
      <c r="E11" s="9">
        <f>D11*Inputs!$F$8</f>
        <v>6480</v>
      </c>
      <c r="F11" s="9">
        <f>E11*Inputs!$F$9</f>
        <v>259.2</v>
      </c>
      <c r="G11" s="9">
        <f>F11*Inputs!$F$14</f>
        <v>25.92</v>
      </c>
      <c r="H11" s="13">
        <f>(F11+G11)*Inputs!$F$10</f>
        <v>1853280</v>
      </c>
      <c r="I11" s="16">
        <f>H11*Inputs!$F$17-Inputs!$F$13*B11</f>
        <v>-269884.80000000005</v>
      </c>
    </row>
    <row r="12" spans="1:9" ht="16" x14ac:dyDescent="0.2">
      <c r="A12" s="4" t="s">
        <v>109</v>
      </c>
      <c r="B12" s="10">
        <v>0.09</v>
      </c>
      <c r="C12" s="9">
        <f>Inputs!$F$6*B12</f>
        <v>180000</v>
      </c>
      <c r="D12" s="9">
        <f>C12*Inputs!$F$7</f>
        <v>21600</v>
      </c>
      <c r="E12" s="9">
        <f>D12*Inputs!$F$8</f>
        <v>6480</v>
      </c>
      <c r="F12" s="9">
        <f>E12*Inputs!$F$9</f>
        <v>259.2</v>
      </c>
      <c r="G12" s="9">
        <f>F12*Inputs!$F$14</f>
        <v>25.92</v>
      </c>
      <c r="H12" s="13">
        <f>(F12+G12)*Inputs!$F$10</f>
        <v>1853280</v>
      </c>
      <c r="I12" s="16">
        <f>H12*Inputs!$F$17-Inputs!$F$13*B12</f>
        <v>-269884.80000000005</v>
      </c>
    </row>
    <row r="13" spans="1:9" ht="16" x14ac:dyDescent="0.2">
      <c r="A13" s="4" t="s">
        <v>110</v>
      </c>
      <c r="B13" s="10">
        <v>0.1</v>
      </c>
      <c r="C13" s="9">
        <f>Inputs!$F$6*B13</f>
        <v>200000</v>
      </c>
      <c r="D13" s="9">
        <f>C13*Inputs!$F$7</f>
        <v>24000</v>
      </c>
      <c r="E13" s="9">
        <f>D13*Inputs!$F$8</f>
        <v>7200</v>
      </c>
      <c r="F13" s="9">
        <f>E13*Inputs!$F$9</f>
        <v>288</v>
      </c>
      <c r="G13" s="9">
        <f>F13*Inputs!$F$14</f>
        <v>28.8</v>
      </c>
      <c r="H13" s="13">
        <f>(F13+G13)*Inputs!$F$10</f>
        <v>2059200</v>
      </c>
      <c r="I13" s="16">
        <f>H13*Inputs!$F$17-Inputs!$F$13*B13</f>
        <v>-299872.00000000012</v>
      </c>
    </row>
    <row r="14" spans="1:9" ht="16" x14ac:dyDescent="0.2">
      <c r="A14" s="4" t="s">
        <v>111</v>
      </c>
      <c r="B14" s="10">
        <v>0.1</v>
      </c>
      <c r="C14" s="9">
        <f>Inputs!$F$6*B14</f>
        <v>200000</v>
      </c>
      <c r="D14" s="9">
        <f>C14*Inputs!$F$7</f>
        <v>24000</v>
      </c>
      <c r="E14" s="9">
        <f>D14*Inputs!$F$8</f>
        <v>7200</v>
      </c>
      <c r="F14" s="9">
        <f>E14*Inputs!$F$9</f>
        <v>288</v>
      </c>
      <c r="G14" s="9">
        <f>F14*Inputs!$F$14</f>
        <v>28.8</v>
      </c>
      <c r="H14" s="13">
        <f>(F14+G14)*Inputs!$F$10</f>
        <v>2059200</v>
      </c>
      <c r="I14" s="16">
        <f>H14*Inputs!$F$17-Inputs!$F$13*B14</f>
        <v>-299872.00000000012</v>
      </c>
    </row>
    <row r="15" spans="1:9" ht="16" x14ac:dyDescent="0.2">
      <c r="A15" s="4" t="s">
        <v>112</v>
      </c>
      <c r="B15" s="10">
        <v>0.09</v>
      </c>
      <c r="C15" s="9">
        <f>Inputs!$F$6*B15</f>
        <v>180000</v>
      </c>
      <c r="D15" s="9">
        <f>C15*Inputs!$F$7</f>
        <v>21600</v>
      </c>
      <c r="E15" s="9">
        <f>D15*Inputs!$F$8</f>
        <v>6480</v>
      </c>
      <c r="F15" s="9">
        <f>E15*Inputs!$F$9</f>
        <v>259.2</v>
      </c>
      <c r="G15" s="9">
        <f>F15*Inputs!$F$14</f>
        <v>25.92</v>
      </c>
      <c r="H15" s="13">
        <f>(F15+G15)*Inputs!$F$10</f>
        <v>1853280</v>
      </c>
      <c r="I15" s="16">
        <f>H15*Inputs!$F$17-Inputs!$F$13*B15</f>
        <v>-269884.80000000005</v>
      </c>
    </row>
    <row r="16" spans="1:9" ht="16" x14ac:dyDescent="0.2">
      <c r="A16" s="4" t="s">
        <v>113</v>
      </c>
      <c r="B16" s="10">
        <v>0.09</v>
      </c>
      <c r="C16" s="9">
        <f>Inputs!$F$6*B16</f>
        <v>180000</v>
      </c>
      <c r="D16" s="9">
        <f>C16*Inputs!$F$7</f>
        <v>21600</v>
      </c>
      <c r="E16" s="9">
        <f>D16*Inputs!$F$8</f>
        <v>6480</v>
      </c>
      <c r="F16" s="9">
        <f>E16*Inputs!$F$9</f>
        <v>259.2</v>
      </c>
      <c r="G16" s="9">
        <f>F16*Inputs!$F$14</f>
        <v>25.92</v>
      </c>
      <c r="H16" s="13">
        <f>(F16+G16)*Inputs!$F$10</f>
        <v>1853280</v>
      </c>
      <c r="I16" s="16">
        <f>H16*Inputs!$F$17-Inputs!$F$13*B16</f>
        <v>-269884.80000000005</v>
      </c>
    </row>
    <row r="17" spans="1:9" ht="16" x14ac:dyDescent="0.2">
      <c r="A17" s="4" t="s">
        <v>114</v>
      </c>
      <c r="B17" s="19">
        <f t="shared" ref="B17:I17" si="0">SUM(B5:B16)</f>
        <v>0.99999999999999989</v>
      </c>
      <c r="C17" s="20">
        <f t="shared" si="0"/>
        <v>2000000</v>
      </c>
      <c r="D17" s="20">
        <f t="shared" si="0"/>
        <v>240000</v>
      </c>
      <c r="E17" s="20">
        <f t="shared" si="0"/>
        <v>72000</v>
      </c>
      <c r="F17" s="20">
        <f t="shared" si="0"/>
        <v>2880</v>
      </c>
      <c r="G17" s="20">
        <f t="shared" si="0"/>
        <v>288.00000000000006</v>
      </c>
      <c r="H17" s="21">
        <f t="shared" si="0"/>
        <v>20592000</v>
      </c>
      <c r="I17" s="21">
        <f t="shared" si="0"/>
        <v>-2998720.0000000009</v>
      </c>
    </row>
    <row r="19" spans="1:9" ht="16" x14ac:dyDescent="0.2">
      <c r="A19" s="5" t="s">
        <v>115</v>
      </c>
      <c r="B19" s="32" t="str">
        <f>IF(ABS(B17-1)&lt;0.000001,"PASS — weights total 100%","CHECK — weights must total 100%")</f>
        <v>PASS — weights total 100%</v>
      </c>
      <c r="C19" s="29"/>
      <c r="D19" s="29"/>
    </row>
  </sheetData>
  <mergeCells count="3">
    <mergeCell ref="A1:I1"/>
    <mergeCell ref="B19:D19"/>
    <mergeCell ref="A2:I2"/>
  </mergeCells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27" customWidth="1"/>
    <col min="2" max="8" width="18" customWidth="1"/>
  </cols>
  <sheetData>
    <row r="1" spans="1:8" ht="30" customHeight="1" x14ac:dyDescent="0.2">
      <c r="A1" s="30" t="s">
        <v>116</v>
      </c>
      <c r="B1" s="29"/>
      <c r="C1" s="29"/>
      <c r="D1" s="29"/>
      <c r="E1" s="29"/>
      <c r="F1" s="29"/>
      <c r="G1" s="29"/>
      <c r="H1" s="29"/>
    </row>
    <row r="2" spans="1:8" x14ac:dyDescent="0.2">
      <c r="A2" s="33" t="s">
        <v>117</v>
      </c>
      <c r="B2" s="29"/>
      <c r="C2" s="29"/>
      <c r="D2" s="29"/>
      <c r="E2" s="29"/>
      <c r="F2" s="29"/>
      <c r="G2" s="29"/>
      <c r="H2" s="29"/>
    </row>
    <row r="4" spans="1:8" ht="16" x14ac:dyDescent="0.2">
      <c r="A4" s="4" t="s">
        <v>118</v>
      </c>
      <c r="B4" s="11">
        <v>0.02</v>
      </c>
      <c r="C4" s="11">
        <v>2.5000000000000001E-2</v>
      </c>
      <c r="D4" s="11">
        <v>0.03</v>
      </c>
      <c r="E4" s="11">
        <v>3.5000000000000003E-2</v>
      </c>
      <c r="F4" s="11">
        <v>0.04</v>
      </c>
      <c r="G4" s="11">
        <v>4.4999999999999998E-2</v>
      </c>
      <c r="H4" s="11">
        <v>0.05</v>
      </c>
    </row>
    <row r="5" spans="1:8" ht="16" x14ac:dyDescent="0.2">
      <c r="A5" s="9">
        <v>1000000</v>
      </c>
      <c r="B5" s="22">
        <f>($A5*Inputs!$F$7*Inputs!$F$8*B$4*(1+Inputs!$F$14)*Inputs!$F$10*Inputs!$F$17)-Inputs!$F$13</f>
        <v>-8249680</v>
      </c>
      <c r="C5" s="22">
        <f>($A5*Inputs!$F$7*Inputs!$F$8*C$4*(1+Inputs!$F$14)*Inputs!$F$10*Inputs!$F$17)-Inputs!$F$13</f>
        <v>-7812100</v>
      </c>
      <c r="D5" s="22">
        <f>($A5*Inputs!$F$7*Inputs!$F$8*D$4*(1+Inputs!$F$14)*Inputs!$F$10*Inputs!$F$17)-Inputs!$F$13</f>
        <v>-7374520</v>
      </c>
      <c r="E5" s="22">
        <f>($A5*Inputs!$F$7*Inputs!$F$8*E$4*(1+Inputs!$F$14)*Inputs!$F$10*Inputs!$F$17)-Inputs!$F$13</f>
        <v>-6936939.9999999991</v>
      </c>
      <c r="F5" s="22">
        <f>($A5*Inputs!$F$7*Inputs!$F$8*F$4*(1+Inputs!$F$14)*Inputs!$F$10*Inputs!$F$17)-Inputs!$F$13</f>
        <v>-6499360</v>
      </c>
      <c r="G5" s="22">
        <f>($A5*Inputs!$F$7*Inputs!$F$8*G$4*(1+Inputs!$F$14)*Inputs!$F$10*Inputs!$F$17)-Inputs!$F$13</f>
        <v>-6061780</v>
      </c>
      <c r="H5" s="22">
        <f>($A5*Inputs!$F$7*Inputs!$F$8*H$4*(1+Inputs!$F$14)*Inputs!$F$10*Inputs!$F$17)-Inputs!$F$13</f>
        <v>-5624200</v>
      </c>
    </row>
    <row r="6" spans="1:8" ht="16" x14ac:dyDescent="0.2">
      <c r="A6" s="9">
        <v>1500000</v>
      </c>
      <c r="B6" s="22">
        <f>($A6*Inputs!$F$7*Inputs!$F$8*B$4*(1+Inputs!$F$14)*Inputs!$F$10*Inputs!$F$17)-Inputs!$F$13</f>
        <v>-7374520</v>
      </c>
      <c r="C6" s="22">
        <f>($A6*Inputs!$F$7*Inputs!$F$8*C$4*(1+Inputs!$F$14)*Inputs!$F$10*Inputs!$F$17)-Inputs!$F$13</f>
        <v>-6718150</v>
      </c>
      <c r="D6" s="22">
        <f>($A6*Inputs!$F$7*Inputs!$F$8*D$4*(1+Inputs!$F$14)*Inputs!$F$10*Inputs!$F$17)-Inputs!$F$13</f>
        <v>-6061780</v>
      </c>
      <c r="E6" s="22">
        <f>($A6*Inputs!$F$7*Inputs!$F$8*E$4*(1+Inputs!$F$14)*Inputs!$F$10*Inputs!$F$17)-Inputs!$F$13</f>
        <v>-5405409.9999999991</v>
      </c>
      <c r="F6" s="22">
        <f>($A6*Inputs!$F$7*Inputs!$F$8*F$4*(1+Inputs!$F$14)*Inputs!$F$10*Inputs!$F$17)-Inputs!$F$13</f>
        <v>-4749040.0000000009</v>
      </c>
      <c r="G6" s="22">
        <f>($A6*Inputs!$F$7*Inputs!$F$8*G$4*(1+Inputs!$F$14)*Inputs!$F$10*Inputs!$F$17)-Inputs!$F$13</f>
        <v>-4092670.0000000009</v>
      </c>
      <c r="H6" s="22">
        <f>($A6*Inputs!$F$7*Inputs!$F$8*H$4*(1+Inputs!$F$14)*Inputs!$F$10*Inputs!$F$17)-Inputs!$F$13</f>
        <v>-3436299.9999999991</v>
      </c>
    </row>
    <row r="7" spans="1:8" ht="16" x14ac:dyDescent="0.2">
      <c r="A7" s="9">
        <v>2000000</v>
      </c>
      <c r="B7" s="22">
        <f>($A7*Inputs!$F$7*Inputs!$F$8*B$4*(1+Inputs!$F$14)*Inputs!$F$10*Inputs!$F$17)-Inputs!$F$13</f>
        <v>-6499360</v>
      </c>
      <c r="C7" s="22">
        <f>($A7*Inputs!$F$7*Inputs!$F$8*C$4*(1+Inputs!$F$14)*Inputs!$F$10*Inputs!$F$17)-Inputs!$F$13</f>
        <v>-5624200</v>
      </c>
      <c r="D7" s="22">
        <f>($A7*Inputs!$F$7*Inputs!$F$8*D$4*(1+Inputs!$F$14)*Inputs!$F$10*Inputs!$F$17)-Inputs!$F$13</f>
        <v>-4749040.0000000009</v>
      </c>
      <c r="E7" s="22">
        <f>($A7*Inputs!$F$7*Inputs!$F$8*E$4*(1+Inputs!$F$14)*Inputs!$F$10*Inputs!$F$17)-Inputs!$F$13</f>
        <v>-3873879.9999999981</v>
      </c>
      <c r="F7" s="22">
        <f>($A7*Inputs!$F$7*Inputs!$F$8*F$4*(1+Inputs!$F$14)*Inputs!$F$10*Inputs!$F$17)-Inputs!$F$13</f>
        <v>-2998719.9999999991</v>
      </c>
      <c r="G7" s="22">
        <f>($A7*Inputs!$F$7*Inputs!$F$8*G$4*(1+Inputs!$F$14)*Inputs!$F$10*Inputs!$F$17)-Inputs!$F$13</f>
        <v>-2123559.9999999991</v>
      </c>
      <c r="H7" s="22">
        <f>($A7*Inputs!$F$7*Inputs!$F$8*H$4*(1+Inputs!$F$14)*Inputs!$F$10*Inputs!$F$17)-Inputs!$F$13</f>
        <v>-1248400</v>
      </c>
    </row>
    <row r="8" spans="1:8" ht="16" x14ac:dyDescent="0.2">
      <c r="A8" s="9">
        <v>2500000</v>
      </c>
      <c r="B8" s="22">
        <f>($A8*Inputs!$F$7*Inputs!$F$8*B$4*(1+Inputs!$F$14)*Inputs!$F$10*Inputs!$F$17)-Inputs!$F$13</f>
        <v>-5624200</v>
      </c>
      <c r="C8" s="22">
        <f>($A8*Inputs!$F$7*Inputs!$F$8*C$4*(1+Inputs!$F$14)*Inputs!$F$10*Inputs!$F$17)-Inputs!$F$13</f>
        <v>-4530250.0000000009</v>
      </c>
      <c r="D8" s="22">
        <f>($A8*Inputs!$F$7*Inputs!$F$8*D$4*(1+Inputs!$F$14)*Inputs!$F$10*Inputs!$F$17)-Inputs!$F$13</f>
        <v>-3436299.9999999991</v>
      </c>
      <c r="E8" s="22">
        <f>($A8*Inputs!$F$7*Inputs!$F$8*E$4*(1+Inputs!$F$14)*Inputs!$F$10*Inputs!$F$17)-Inputs!$F$13</f>
        <v>-2342349.9999999981</v>
      </c>
      <c r="F8" s="22">
        <f>($A8*Inputs!$F$7*Inputs!$F$8*F$4*(1+Inputs!$F$14)*Inputs!$F$10*Inputs!$F$17)-Inputs!$F$13</f>
        <v>-1248400</v>
      </c>
      <c r="G8" s="22">
        <f>($A8*Inputs!$F$7*Inputs!$F$8*G$4*(1+Inputs!$F$14)*Inputs!$F$10*Inputs!$F$17)-Inputs!$F$13</f>
        <v>-154450</v>
      </c>
      <c r="H8" s="22">
        <f>($A8*Inputs!$F$7*Inputs!$F$8*H$4*(1+Inputs!$F$14)*Inputs!$F$10*Inputs!$F$17)-Inputs!$F$13</f>
        <v>939499.99999999814</v>
      </c>
    </row>
    <row r="9" spans="1:8" ht="16" x14ac:dyDescent="0.2">
      <c r="A9" s="9">
        <v>3000000</v>
      </c>
      <c r="B9" s="22">
        <f>($A9*Inputs!$F$7*Inputs!$F$8*B$4*(1+Inputs!$F$14)*Inputs!$F$10*Inputs!$F$17)-Inputs!$F$13</f>
        <v>-4749040.0000000009</v>
      </c>
      <c r="C9" s="22">
        <f>($A9*Inputs!$F$7*Inputs!$F$8*C$4*(1+Inputs!$F$14)*Inputs!$F$10*Inputs!$F$17)-Inputs!$F$13</f>
        <v>-3436299.9999999991</v>
      </c>
      <c r="D9" s="22">
        <f>($A9*Inputs!$F$7*Inputs!$F$8*D$4*(1+Inputs!$F$14)*Inputs!$F$10*Inputs!$F$17)-Inputs!$F$13</f>
        <v>-2123559.9999999991</v>
      </c>
      <c r="E9" s="22">
        <f>($A9*Inputs!$F$7*Inputs!$F$8*E$4*(1+Inputs!$F$14)*Inputs!$F$10*Inputs!$F$17)-Inputs!$F$13</f>
        <v>-810819.99999999814</v>
      </c>
      <c r="F9" s="22">
        <f>($A9*Inputs!$F$7*Inputs!$F$8*F$4*(1+Inputs!$F$14)*Inputs!$F$10*Inputs!$F$17)-Inputs!$F$13</f>
        <v>501919.99999999814</v>
      </c>
      <c r="G9" s="22">
        <f>($A9*Inputs!$F$7*Inputs!$F$8*G$4*(1+Inputs!$F$14)*Inputs!$F$10*Inputs!$F$17)-Inputs!$F$13</f>
        <v>1814659.9999999981</v>
      </c>
      <c r="H9" s="22">
        <f>($A9*Inputs!$F$7*Inputs!$F$8*H$4*(1+Inputs!$F$14)*Inputs!$F$10*Inputs!$F$17)-Inputs!$F$13</f>
        <v>3127400.0000000019</v>
      </c>
    </row>
    <row r="10" spans="1:8" ht="16" x14ac:dyDescent="0.2">
      <c r="A10" s="9">
        <v>3500000</v>
      </c>
      <c r="B10" s="22">
        <f>($A10*Inputs!$F$7*Inputs!$F$8*B$4*(1+Inputs!$F$14)*Inputs!$F$10*Inputs!$F$17)-Inputs!$F$13</f>
        <v>-3873880.0000000009</v>
      </c>
      <c r="C10" s="22">
        <f>($A10*Inputs!$F$7*Inputs!$F$8*C$4*(1+Inputs!$F$14)*Inputs!$F$10*Inputs!$F$17)-Inputs!$F$13</f>
        <v>-2342349.9999999991</v>
      </c>
      <c r="D10" s="22">
        <f>($A10*Inputs!$F$7*Inputs!$F$8*D$4*(1+Inputs!$F$14)*Inputs!$F$10*Inputs!$F$17)-Inputs!$F$13</f>
        <v>-810820</v>
      </c>
      <c r="E10" s="22">
        <f>($A10*Inputs!$F$7*Inputs!$F$8*E$4*(1+Inputs!$F$14)*Inputs!$F$10*Inputs!$F$17)-Inputs!$F$13</f>
        <v>720709.99999999814</v>
      </c>
      <c r="F10" s="22">
        <f>($A10*Inputs!$F$7*Inputs!$F$8*F$4*(1+Inputs!$F$14)*Inputs!$F$10*Inputs!$F$17)-Inputs!$F$13</f>
        <v>2252239.9999999981</v>
      </c>
      <c r="G10" s="22">
        <f>($A10*Inputs!$F$7*Inputs!$F$8*G$4*(1+Inputs!$F$14)*Inputs!$F$10*Inputs!$F$17)-Inputs!$F$13</f>
        <v>3783770.0000000019</v>
      </c>
      <c r="H10" s="22">
        <f>($A10*Inputs!$F$7*Inputs!$F$8*H$4*(1+Inputs!$F$14)*Inputs!$F$10*Inputs!$F$17)-Inputs!$F$13</f>
        <v>5315300.0000000019</v>
      </c>
    </row>
    <row r="12" spans="1:8" ht="16" x14ac:dyDescent="0.2">
      <c r="A12" s="5" t="s">
        <v>119</v>
      </c>
      <c r="B12" s="28" t="s">
        <v>120</v>
      </c>
      <c r="C12" s="34"/>
      <c r="D12" s="34"/>
      <c r="E12" s="34"/>
      <c r="F12" s="34"/>
      <c r="G12" s="34"/>
      <c r="H12" s="34"/>
    </row>
    <row r="13" spans="1:8" x14ac:dyDescent="0.2">
      <c r="B13" s="29"/>
      <c r="C13" s="29"/>
      <c r="D13" s="29"/>
      <c r="E13" s="29"/>
      <c r="F13" s="29"/>
      <c r="G13" s="29"/>
      <c r="H13" s="29"/>
    </row>
  </sheetData>
  <mergeCells count="3">
    <mergeCell ref="B12:H13"/>
    <mergeCell ref="A2:H2"/>
    <mergeCell ref="A1:H1"/>
  </mergeCells>
  <conditionalFormatting sqref="B5:H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8"/>
  <sheetViews>
    <sheetView showGridLines="0" zoomScale="90" workbookViewId="0">
      <pane ySplit="4" topLeftCell="A5" activePane="bottomLeft" state="frozen"/>
      <selection pane="bottomLeft" sqref="A1:F1"/>
    </sheetView>
  </sheetViews>
  <sheetFormatPr baseColWidth="10" defaultColWidth="8.83203125" defaultRowHeight="15" x14ac:dyDescent="0.2"/>
  <cols>
    <col min="1" max="1" width="38" customWidth="1"/>
    <col min="2" max="2" width="25" customWidth="1"/>
    <col min="3" max="6" width="18" customWidth="1"/>
  </cols>
  <sheetData>
    <row r="1" spans="1:6" ht="30" customHeight="1" x14ac:dyDescent="0.2">
      <c r="A1" s="30" t="s">
        <v>121</v>
      </c>
      <c r="B1" s="29"/>
      <c r="C1" s="29"/>
      <c r="D1" s="29"/>
      <c r="E1" s="29"/>
      <c r="F1" s="29"/>
    </row>
    <row r="3" spans="1:6" ht="16" x14ac:dyDescent="0.2">
      <c r="A3" s="5" t="s">
        <v>22</v>
      </c>
      <c r="B3" s="23" t="str">
        <f>Inputs!B3</f>
        <v>Base</v>
      </c>
    </row>
    <row r="5" spans="1:6" ht="17" x14ac:dyDescent="0.2">
      <c r="A5" s="1" t="s">
        <v>30</v>
      </c>
      <c r="B5" s="24">
        <f>'Scenario Analysis'!G4</f>
        <v>2000000</v>
      </c>
      <c r="C5" s="4" t="s">
        <v>61</v>
      </c>
    </row>
    <row r="6" spans="1:6" ht="17" x14ac:dyDescent="0.2">
      <c r="A6" s="1" t="s">
        <v>50</v>
      </c>
      <c r="B6" s="24">
        <f>'Scenario Analysis'!G7</f>
        <v>2880</v>
      </c>
      <c r="C6" s="4" t="s">
        <v>67</v>
      </c>
    </row>
    <row r="7" spans="1:6" ht="17" x14ac:dyDescent="0.2">
      <c r="A7" s="1" t="s">
        <v>51</v>
      </c>
      <c r="B7" s="24">
        <f>'Scenario Analysis'!G9</f>
        <v>3168.0000000000005</v>
      </c>
      <c r="C7" s="4" t="s">
        <v>67</v>
      </c>
    </row>
    <row r="8" spans="1:6" ht="17" x14ac:dyDescent="0.2">
      <c r="A8" s="1" t="s">
        <v>52</v>
      </c>
      <c r="B8" s="25">
        <f>'Scenario Analysis'!G10</f>
        <v>20592000.000000004</v>
      </c>
      <c r="C8" s="4" t="s">
        <v>73</v>
      </c>
    </row>
    <row r="9" spans="1:6" ht="17" x14ac:dyDescent="0.2">
      <c r="A9" s="1" t="s">
        <v>53</v>
      </c>
      <c r="B9" s="25">
        <f>'Scenario Analysis'!G13</f>
        <v>7001280.0000000009</v>
      </c>
      <c r="C9" s="4" t="s">
        <v>73</v>
      </c>
    </row>
    <row r="10" spans="1:6" ht="17" x14ac:dyDescent="0.2">
      <c r="A10" s="1" t="s">
        <v>80</v>
      </c>
      <c r="B10" s="25">
        <f>'Scenario Analysis'!G14</f>
        <v>10000000</v>
      </c>
      <c r="C10" s="4" t="s">
        <v>73</v>
      </c>
    </row>
    <row r="11" spans="1:6" ht="17" x14ac:dyDescent="0.2">
      <c r="A11" s="1" t="s">
        <v>54</v>
      </c>
      <c r="B11" s="25">
        <f>'Scenario Analysis'!G15</f>
        <v>-2998719.9999999991</v>
      </c>
      <c r="C11" s="4" t="s">
        <v>73</v>
      </c>
    </row>
    <row r="12" spans="1:6" ht="17" x14ac:dyDescent="0.2">
      <c r="A12" s="1" t="s">
        <v>86</v>
      </c>
      <c r="B12" s="24">
        <f>'Scenario Analysis'!G17</f>
        <v>4524.8868778280539</v>
      </c>
      <c r="C12" s="4" t="s">
        <v>67</v>
      </c>
    </row>
    <row r="13" spans="1:6" ht="17" x14ac:dyDescent="0.2">
      <c r="A13" s="1" t="s">
        <v>88</v>
      </c>
      <c r="B13" s="25">
        <f>'Scenario Analysis'!G18</f>
        <v>3472.2222222222222</v>
      </c>
      <c r="C13" s="4" t="s">
        <v>84</v>
      </c>
    </row>
    <row r="14" spans="1:6" ht="17" x14ac:dyDescent="0.2">
      <c r="A14" s="1" t="s">
        <v>90</v>
      </c>
      <c r="B14" s="26">
        <f>'Scenario Analysis'!G19</f>
        <v>0.70012800000000008</v>
      </c>
      <c r="C14" s="4" t="s">
        <v>91</v>
      </c>
    </row>
    <row r="17" spans="1:6" ht="16" x14ac:dyDescent="0.2">
      <c r="A17" s="7" t="s">
        <v>122</v>
      </c>
      <c r="B17" s="28" t="s">
        <v>123</v>
      </c>
      <c r="C17" s="34"/>
      <c r="D17" s="34"/>
      <c r="E17" s="34"/>
      <c r="F17" s="34"/>
    </row>
    <row r="18" spans="1:6" x14ac:dyDescent="0.2">
      <c r="B18" s="29"/>
      <c r="C18" s="29"/>
      <c r="D18" s="29"/>
      <c r="E18" s="29"/>
      <c r="F18" s="29"/>
    </row>
  </sheetData>
  <mergeCells count="2">
    <mergeCell ref="B17:F18"/>
    <mergeCell ref="A1:F1"/>
  </mergeCells>
  <pageMargins left="0.75" right="0.75" top="1" bottom="1" header="0.5" footer="0.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Inputs</vt:lpstr>
      <vt:lpstr>Scenario Analysis</vt:lpstr>
      <vt:lpstr>12-Month Model</vt:lpstr>
      <vt:lpstr>Sensitivity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Verma (BDA 25-27)</cp:lastModifiedBy>
  <dcterms:created xsi:type="dcterms:W3CDTF">2026-09-30T12:27:50Z</dcterms:created>
  <dcterms:modified xsi:type="dcterms:W3CDTF">2026-10-01T12:17:52Z</dcterms:modified>
</cp:coreProperties>
</file>